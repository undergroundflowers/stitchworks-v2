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 activeTab="2"/>
  </bookViews>
  <sheets>
    <sheet name="100230638" sheetId="3" r:id="rId1"/>
    <sheet name="CRITICAL" sheetId="4" r:id="rId2"/>
    <sheet name="NSR" sheetId="5" r:id="rId3"/>
  </sheets>
  <definedNames>
    <definedName name="_xlnm.Print_Area" localSheetId="0">'100230638'!$A$1:$G$133</definedName>
    <definedName name="_xlnm.Print_Area" localSheetId="1">CRITICAL!$A$1:$H$10</definedName>
    <definedName name="_xlnm.Print_Area" localSheetId="2">NSR!$A$1:$K$58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5"/>
  <c r="G122" i="3" l="1"/>
  <c r="G123"/>
  <c r="G124"/>
  <c r="G125"/>
  <c r="G126"/>
  <c r="G127"/>
  <c r="G128"/>
  <c r="G129"/>
  <c r="G121"/>
  <c r="G5"/>
  <c r="G131" l="1"/>
</calcChain>
</file>

<file path=xl/sharedStrings.xml><?xml version="1.0" encoding="utf-8"?>
<sst xmlns="http://schemas.openxmlformats.org/spreadsheetml/2006/main" count="326" uniqueCount="227">
  <si>
    <t>MACHINE LAYOUT</t>
  </si>
  <si>
    <t>DESCRIPTION</t>
  </si>
  <si>
    <t>LINE NO.</t>
  </si>
  <si>
    <t>MACHINE</t>
  </si>
  <si>
    <t>Style No.</t>
  </si>
  <si>
    <t>MACHINE SMV</t>
  </si>
  <si>
    <t>Buyer</t>
  </si>
  <si>
    <t>No of Work Stations:-</t>
  </si>
  <si>
    <t>Quantity</t>
  </si>
  <si>
    <t>FINAL INSPECTION TABLE</t>
  </si>
  <si>
    <t>Target 8 Hrs @ 60%</t>
  </si>
  <si>
    <t>OPERATION</t>
  </si>
  <si>
    <t>CODE NO.</t>
  </si>
  <si>
    <t>TYPE OF M/C</t>
  </si>
  <si>
    <t>LOADING</t>
  </si>
  <si>
    <t>SUMMARY</t>
  </si>
  <si>
    <t>1   Final Layout                 -</t>
  </si>
  <si>
    <t>MR. AKIL KHAN</t>
  </si>
  <si>
    <t>SR.INDUSTRIAL ENGG.</t>
  </si>
  <si>
    <t>MR.ANIL KUMAR</t>
  </si>
  <si>
    <t>1   Initial Layout                 -</t>
  </si>
  <si>
    <t>HD</t>
  </si>
  <si>
    <t>IRON</t>
  </si>
  <si>
    <t>5TH O/L</t>
  </si>
  <si>
    <t>SNEC</t>
  </si>
  <si>
    <t>TABLE</t>
  </si>
  <si>
    <t>FINAL CHECK POINT</t>
  </si>
  <si>
    <t>INC</t>
  </si>
  <si>
    <t>SNLS</t>
  </si>
  <si>
    <t>QR CODE SCAN &amp; TACK</t>
  </si>
  <si>
    <t xml:space="preserve">BOTTOM HEM </t>
  </si>
  <si>
    <t>TOTAL</t>
  </si>
  <si>
    <t>DNLS</t>
  </si>
  <si>
    <t>SPECIAL</t>
  </si>
  <si>
    <t>3TH O/L</t>
  </si>
  <si>
    <t>4TH O/L</t>
  </si>
  <si>
    <t>P.M</t>
  </si>
  <si>
    <t>SHIRT</t>
  </si>
  <si>
    <t>BACK PLEAT MARK &amp; MAKE TACK TOP PLACKET PLACKET PIIPIN JOIN</t>
  </si>
  <si>
    <t>FRONT PLACKET CREASE</t>
  </si>
  <si>
    <t>BACK YOKE ATTACH WITH BACK</t>
  </si>
  <si>
    <t>FRONT BUTTONHOLE PLACKET ATTACH WITH EDGE</t>
  </si>
  <si>
    <t>MAIN LABEL MAKE &amp; MARK ATTACH</t>
  </si>
  <si>
    <t>FRONT BUTTON PLACKET HEM</t>
  </si>
  <si>
    <t>FRONT PLACKLET CREASE</t>
  </si>
  <si>
    <t>SLEEVE PLACKET CREASE</t>
  </si>
  <si>
    <t>POCKET MOTH HEM &amp; EXTRA MARGIN RECUT</t>
  </si>
  <si>
    <t>MARK &amp; PAIR POCKET WITH BODY</t>
  </si>
  <si>
    <t>FRONT PATCH POCKET ATTACH</t>
  </si>
  <si>
    <t>PAIR FRONT &amp; BACK</t>
  </si>
  <si>
    <t>SHOULDER JOIN</t>
  </si>
  <si>
    <t>SLEEVE TACK CENTER WITH EDGE STITCH ALL AROUND</t>
  </si>
  <si>
    <t>SHOULDER SEAM TOPSTITCH</t>
  </si>
  <si>
    <t>SLEEVE OUTER PLACKET ATTACH</t>
  </si>
  <si>
    <t>SLEEVE INNER PLACKET ATTACH</t>
  </si>
  <si>
    <t>SLEEEVE INNER PLACKET FINISH</t>
  </si>
  <si>
    <t>SLEEVE OUTER PLACKET CLOSE</t>
  </si>
  <si>
    <t>SLEEVE PLACKET TACK FINSH BOX</t>
  </si>
  <si>
    <t>SLEEVE TAB TACK &amp; FINISH</t>
  </si>
  <si>
    <t>COLLAR BAND CREASE &amp; COLLAR PRESS</t>
  </si>
  <si>
    <t>COLLAR RUNSTITCH</t>
  </si>
  <si>
    <t>COLLAR RUNSTITCH WITH THREAD INSERT</t>
  </si>
  <si>
    <t>COLLAR &amp; COLLAR BAND EXTRA AMRGIN TRIM</t>
  </si>
  <si>
    <t>COLLAR BAND PEAK MAKE</t>
  </si>
  <si>
    <t>COLLAR BAND ATTACH WITH COLLAR</t>
  </si>
  <si>
    <t>COLLAR TOPTSTITCH</t>
  </si>
  <si>
    <t>COLLAR BAND TRIM &amp; READY FOR ATTACH</t>
  </si>
  <si>
    <t>PAIR SLEEVE WITH BODY MATCH</t>
  </si>
  <si>
    <t xml:space="preserve">SLEEVE CAP STAY STITCH </t>
  </si>
  <si>
    <t>SLEEVE ATTACH AT ARMHOLE</t>
  </si>
  <si>
    <t>ARMPIT TACK</t>
  </si>
  <si>
    <t>MID CHECK POINT</t>
  </si>
  <si>
    <t>SIDE SEAM JOIN WITH UNDERARM</t>
  </si>
  <si>
    <t>NECKLIEN STAY STITCH</t>
  </si>
  <si>
    <t>SIDE SEAM PINSTITCH UNDERARM</t>
  </si>
  <si>
    <t>COLLAR MARK MATCH WITH BODY</t>
  </si>
  <si>
    <t>COLLAR ATTACH AT NECKLINE</t>
  </si>
  <si>
    <t>SLEEVE OPENING PLEAT MARK &amp; MAKE</t>
  </si>
  <si>
    <t>COLLAR CLOSE WITH EDGE STITCH</t>
  </si>
  <si>
    <t>CUFF CREASE</t>
  </si>
  <si>
    <t>CUFF CORNER TACK TRIM &amp; TURN</t>
  </si>
  <si>
    <t>MARK &amp; PAIR CUFF WITH BODY</t>
  </si>
  <si>
    <t>CUFF ATTACH</t>
  </si>
  <si>
    <t>CUFF CLOSE</t>
  </si>
  <si>
    <t>CUFF EDGE STITCH</t>
  </si>
  <si>
    <t>BOTTOM HEM</t>
  </si>
  <si>
    <t>WASH CARE LABEL ATTACH</t>
  </si>
  <si>
    <t xml:space="preserve">CRITICAL OPERATION </t>
  </si>
  <si>
    <t xml:space="preserve">STYLE NO </t>
  </si>
  <si>
    <t>BUYER</t>
  </si>
  <si>
    <t>COLLAR FINISH</t>
  </si>
  <si>
    <t>BUTTON &amp; BUTTONHOLE PLACKET FINISH</t>
  </si>
  <si>
    <t>SLEEVE ATTACH AT ARMHOLE'</t>
  </si>
  <si>
    <t>POCKET ATTACH</t>
  </si>
  <si>
    <t>SLEEVE OUTER PLACKET FINISH WITH BOX</t>
  </si>
  <si>
    <t>CUFF FINISH*2</t>
  </si>
  <si>
    <t>NEW STYLE REQUIREMENT SHEET</t>
  </si>
  <si>
    <t xml:space="preserve">STYLE NO :- </t>
  </si>
  <si>
    <t>ORDER QTY :-</t>
  </si>
  <si>
    <t>No. of lines</t>
  </si>
  <si>
    <t>in</t>
  </si>
  <si>
    <t>out</t>
  </si>
  <si>
    <t>DATE</t>
  </si>
  <si>
    <t>Plan load date:-</t>
  </si>
  <si>
    <t xml:space="preserve">BUYER :- </t>
  </si>
  <si>
    <t>PCD Date</t>
  </si>
  <si>
    <t>Area :- Maintenance</t>
  </si>
  <si>
    <t>garment design</t>
  </si>
  <si>
    <t>Particulars</t>
  </si>
  <si>
    <t>Type of machines</t>
  </si>
  <si>
    <t>Required m/c</t>
  </si>
  <si>
    <t>Type of M/c</t>
  </si>
  <si>
    <t>By Whom</t>
  </si>
  <si>
    <t>Remarks</t>
  </si>
  <si>
    <t>PHOTO</t>
  </si>
  <si>
    <t>PLAIN BOOT</t>
  </si>
  <si>
    <t>Machines</t>
  </si>
  <si>
    <t>Maint</t>
  </si>
  <si>
    <t xml:space="preserve">Before the line setting </t>
  </si>
  <si>
    <t>please set machine thread tension before start the operation and check on same wastage fabric and verify to line supervisor and line Qc.</t>
  </si>
  <si>
    <t>DN</t>
  </si>
  <si>
    <t>3TH-O/L</t>
  </si>
  <si>
    <t xml:space="preserve">condition should be </t>
  </si>
  <si>
    <t>5TH-O/L</t>
  </si>
  <si>
    <t>available on floor</t>
  </si>
  <si>
    <t>4TH-O/L</t>
  </si>
  <si>
    <t>PM &amp; Floor Mechanic</t>
  </si>
  <si>
    <t>MNCS</t>
  </si>
  <si>
    <t>should be ensure it.</t>
  </si>
  <si>
    <t>CR 1/32"</t>
  </si>
  <si>
    <t>FLAT LOCK</t>
  </si>
  <si>
    <t>Sample fabric must be</t>
  </si>
  <si>
    <t>provided to the mechanic</t>
  </si>
  <si>
    <t>by PM to set the M/Cs</t>
  </si>
  <si>
    <t>CL 1/32"</t>
  </si>
  <si>
    <t>TOTAL M/Cs</t>
  </si>
  <si>
    <t xml:space="preserve">In house store must </t>
  </si>
  <si>
    <t>arrange prior line setting</t>
  </si>
  <si>
    <t>Type Of Needle SNLS</t>
  </si>
  <si>
    <t>Dbx1</t>
  </si>
  <si>
    <t>11-NO</t>
  </si>
  <si>
    <t>Type Of Needle O/L</t>
  </si>
  <si>
    <t>Dcx1</t>
  </si>
  <si>
    <t>Type Of Needle F/L</t>
  </si>
  <si>
    <t>UY128</t>
  </si>
  <si>
    <t>All M/c.Needle ball point only</t>
  </si>
  <si>
    <t>Area :-IE/R&amp;D</t>
  </si>
  <si>
    <t>Throat Plate</t>
  </si>
  <si>
    <t>E-12/13</t>
  </si>
  <si>
    <t>Rcvd By</t>
  </si>
  <si>
    <t>Chkd By</t>
  </si>
  <si>
    <t>Tech Pack/Style File</t>
  </si>
  <si>
    <t>Merchant</t>
  </si>
  <si>
    <t>P.M.</t>
  </si>
  <si>
    <t>Industrial Engg &amp; Technician</t>
  </si>
  <si>
    <t>Feed Dog</t>
  </si>
  <si>
    <t xml:space="preserve"> Teflon feeddog.</t>
  </si>
  <si>
    <t>Floor Mechanic must</t>
  </si>
  <si>
    <t>must read it</t>
  </si>
  <si>
    <t xml:space="preserve">light metal </t>
  </si>
  <si>
    <t>check it during line setting</t>
  </si>
  <si>
    <t>Patterns</t>
  </si>
  <si>
    <t>All patterns should be</t>
  </si>
  <si>
    <t>Binder</t>
  </si>
  <si>
    <t xml:space="preserve">P.M must check it whether </t>
  </si>
  <si>
    <t>checked by technician</t>
  </si>
  <si>
    <t>it is available in house store</t>
  </si>
  <si>
    <t>Metal Template</t>
  </si>
  <si>
    <t>Pattern Mast</t>
  </si>
  <si>
    <t xml:space="preserve">If not all the necessary </t>
  </si>
  <si>
    <t>Attachments/Work Aids</t>
  </si>
  <si>
    <t xml:space="preserve">M.P.S  should be raised </t>
  </si>
  <si>
    <t>R&amp;D/IE Bulletin (Sewing)</t>
  </si>
  <si>
    <t>IED</t>
  </si>
  <si>
    <t>Must be give P.M</t>
  </si>
  <si>
    <t>before time, so at the time</t>
  </si>
  <si>
    <t xml:space="preserve"> of line setting it should be </t>
  </si>
  <si>
    <t>IE Bulletin (Finishing)</t>
  </si>
  <si>
    <t>available to concerned</t>
  </si>
  <si>
    <t>(After 2 days bulk prod.</t>
  </si>
  <si>
    <t>Jigs, Dies &amp; Profiles</t>
  </si>
  <si>
    <t>Anti-curling</t>
  </si>
  <si>
    <t>NA</t>
  </si>
  <si>
    <t>floor in charge.</t>
  </si>
  <si>
    <t>Layouts</t>
  </si>
  <si>
    <t>SPI</t>
  </si>
  <si>
    <t>09--10</t>
  </si>
  <si>
    <t>F/L</t>
  </si>
  <si>
    <t>Plastic Markers</t>
  </si>
  <si>
    <t>line setting as per O.B</t>
  </si>
  <si>
    <t xml:space="preserve">O/L </t>
  </si>
  <si>
    <t>13--14</t>
  </si>
  <si>
    <t>Area :- Quality DEPT.</t>
  </si>
  <si>
    <t>In Line Dummy Rqd</t>
  </si>
  <si>
    <t>YES</t>
  </si>
  <si>
    <t>Q.A Dept &amp; P.M</t>
  </si>
  <si>
    <t>In Line</t>
  </si>
  <si>
    <t xml:space="preserve">Method of processing should </t>
  </si>
  <si>
    <t>Presser/checker</t>
  </si>
  <si>
    <t>QA</t>
  </si>
  <si>
    <t>be explained by I.E &amp; Tech</t>
  </si>
  <si>
    <t>Rqd Temp</t>
  </si>
  <si>
    <t>Prod Q.A must check it</t>
  </si>
  <si>
    <t>On daily basis</t>
  </si>
  <si>
    <t>Mini Marker for</t>
  </si>
  <si>
    <t xml:space="preserve">Should be hand over to </t>
  </si>
  <si>
    <t>Off Line Dummy Rqd</t>
  </si>
  <si>
    <t>NO</t>
  </si>
  <si>
    <t>Stamp Placement</t>
  </si>
  <si>
    <t>cutting dept, prior bulk cut</t>
  </si>
  <si>
    <t>Sealed Sample</t>
  </si>
  <si>
    <t>OAD / R&amp;D.</t>
  </si>
  <si>
    <t>Sealed sample must be</t>
  </si>
  <si>
    <t>BUCKS Rqd</t>
  </si>
  <si>
    <t>P.M. Must Ensure it</t>
  </si>
  <si>
    <t>available on floor during bulk</t>
  </si>
  <si>
    <t>Critical Operations Group</t>
  </si>
  <si>
    <t>prod. Need to trained further</t>
  </si>
  <si>
    <t>Training should be start</t>
  </si>
  <si>
    <t>before line setting</t>
  </si>
  <si>
    <t>IN LINE MOCKS</t>
  </si>
  <si>
    <t>In charge/ qc.</t>
  </si>
  <si>
    <t>Q.A must check it &amp; sign it</t>
  </si>
  <si>
    <t>All the markers &amp; template</t>
  </si>
  <si>
    <t>should be get ready before</t>
  </si>
  <si>
    <t>***</t>
  </si>
  <si>
    <t>Margin Guide &amp; Anti-Curling must be used where it is necessory.</t>
  </si>
</sst>
</file>

<file path=xl/styles.xml><?xml version="1.0" encoding="utf-8"?>
<styleSheet xmlns="http://schemas.openxmlformats.org/spreadsheetml/2006/main">
  <numFmts count="1">
    <numFmt numFmtId="164" formatCode="[$-14009]dd/mm/yyyy;@"/>
  </numFmts>
  <fonts count="37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22"/>
      <name val="Times New Roman"/>
      <family val="1"/>
    </font>
    <font>
      <sz val="36"/>
      <color theme="1"/>
      <name val="Calibri"/>
      <family val="2"/>
      <scheme val="minor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18"/>
      <color theme="1"/>
      <name val="Calibri"/>
      <family val="2"/>
      <scheme val="minor"/>
    </font>
    <font>
      <sz val="9"/>
      <name val="Arial"/>
      <family val="2"/>
    </font>
    <font>
      <b/>
      <sz val="9"/>
      <color theme="1"/>
      <name val="Times New Roman"/>
      <family val="1"/>
    </font>
    <font>
      <sz val="9"/>
      <name val="Times New Roman"/>
      <family val="1"/>
    </font>
    <font>
      <b/>
      <sz val="9"/>
      <color indexed="10"/>
      <name val="Times New Roman"/>
      <family val="1"/>
    </font>
    <font>
      <sz val="9"/>
      <color theme="1"/>
      <name val="Times New Roman"/>
      <family val="1"/>
    </font>
    <font>
      <b/>
      <sz val="9"/>
      <color indexed="8"/>
      <name val="Arial"/>
      <family val="2"/>
    </font>
    <font>
      <b/>
      <sz val="9"/>
      <color theme="1"/>
      <name val="Arial"/>
      <family val="2"/>
    </font>
    <font>
      <sz val="11"/>
      <name val="Times New Roman"/>
      <family val="1"/>
    </font>
    <font>
      <sz val="9"/>
      <color theme="1"/>
      <name val="Calibri"/>
      <family val="2"/>
      <scheme val="minor"/>
    </font>
    <font>
      <sz val="9"/>
      <color indexed="8"/>
      <name val="Times New Roman"/>
      <family val="1"/>
    </font>
    <font>
      <b/>
      <sz val="9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8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6"/>
      <name val="Arial"/>
      <family val="2"/>
    </font>
    <font>
      <b/>
      <u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indexed="8"/>
      <name val="Calibri"/>
      <family val="2"/>
    </font>
    <font>
      <sz val="11"/>
      <color indexed="8"/>
      <name val="Calibri"/>
      <family val="2"/>
      <charset val="134"/>
    </font>
    <font>
      <b/>
      <u/>
      <sz val="20"/>
      <color rgb="FFFFFF00"/>
      <name val="Times New Roman"/>
      <family val="1"/>
    </font>
    <font>
      <b/>
      <sz val="8"/>
      <name val="Times New Roman"/>
      <family val="1"/>
    </font>
    <font>
      <b/>
      <sz val="8"/>
      <color indexed="8"/>
      <name val="Times New Roman"/>
      <family val="1"/>
    </font>
    <font>
      <b/>
      <sz val="8"/>
      <color rgb="FF000000"/>
      <name val="Times New Roman"/>
      <family val="1"/>
    </font>
    <font>
      <sz val="8"/>
      <color indexed="8"/>
      <name val="Times New Roman"/>
      <family val="1"/>
    </font>
    <font>
      <sz val="8"/>
      <name val="Times New Roman"/>
      <family val="1"/>
    </font>
    <font>
      <b/>
      <sz val="8"/>
      <color rgb="FF002060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rgb="FF0070C0"/>
        <b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7"/>
        <bgColor indexed="3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35"/>
      </patternFill>
    </fill>
    <fill>
      <patternFill patternType="solid">
        <fgColor indexed="9"/>
        <bgColor indexed="35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hair">
        <color indexed="8"/>
      </bottom>
      <diagonal/>
    </border>
    <border>
      <left style="medium">
        <color indexed="64"/>
      </left>
      <right style="medium">
        <color indexed="64"/>
      </right>
      <top/>
      <bottom style="hair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/>
      <diagonal/>
    </border>
    <border>
      <left style="hair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medium">
        <color indexed="64"/>
      </bottom>
      <diagonal/>
    </border>
    <border>
      <left/>
      <right style="hair">
        <color indexed="8"/>
      </right>
      <top style="hair">
        <color indexed="8"/>
      </top>
      <bottom style="medium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/>
      <diagonal/>
    </border>
    <border>
      <left style="thin">
        <color indexed="64"/>
      </left>
      <right style="hair">
        <color indexed="8"/>
      </right>
      <top style="medium">
        <color indexed="64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64"/>
      </top>
      <bottom style="hair">
        <color indexed="8"/>
      </bottom>
      <diagonal/>
    </border>
    <border>
      <left style="hair">
        <color indexed="8"/>
      </left>
      <right style="medium">
        <color indexed="64"/>
      </right>
      <top style="medium">
        <color indexed="64"/>
      </top>
      <bottom style="hair">
        <color indexed="8"/>
      </bottom>
      <diagonal/>
    </border>
    <border>
      <left style="medium">
        <color indexed="64"/>
      </left>
      <right style="hair">
        <color indexed="8"/>
      </right>
      <top style="medium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medium">
        <color indexed="64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medium">
        <color indexed="64"/>
      </right>
      <top style="hair">
        <color indexed="8"/>
      </top>
      <bottom/>
      <diagonal/>
    </border>
    <border>
      <left style="medium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8"/>
      </left>
      <right style="medium">
        <color indexed="64"/>
      </right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thin">
        <color indexed="64"/>
      </left>
      <right style="hair">
        <color indexed="8"/>
      </right>
      <top/>
      <bottom style="hair">
        <color indexed="8"/>
      </bottom>
      <diagonal/>
    </border>
    <border>
      <left style="medium">
        <color indexed="64"/>
      </left>
      <right style="hair">
        <color indexed="8"/>
      </right>
      <top style="hair">
        <color indexed="8"/>
      </top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medium">
        <color indexed="64"/>
      </bottom>
      <diagonal/>
    </border>
    <border>
      <left/>
      <right style="hair">
        <color indexed="8"/>
      </right>
      <top style="medium">
        <color indexed="64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medium">
        <color indexed="64"/>
      </right>
      <top style="hair">
        <color indexed="8"/>
      </top>
      <bottom style="medium">
        <color indexed="64"/>
      </bottom>
      <diagonal/>
    </border>
    <border>
      <left style="thin">
        <color indexed="64"/>
      </left>
      <right/>
      <top style="hair">
        <color indexed="8"/>
      </top>
      <bottom style="medium">
        <color indexed="8"/>
      </bottom>
      <diagonal/>
    </border>
    <border>
      <left/>
      <right style="hair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8"/>
      </right>
      <top/>
      <bottom style="medium">
        <color indexed="64"/>
      </bottom>
      <diagonal/>
    </border>
    <border>
      <left style="hair">
        <color indexed="8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8"/>
      </right>
      <top style="thin">
        <color indexed="64"/>
      </top>
      <bottom style="medium">
        <color indexed="64"/>
      </bottom>
      <diagonal/>
    </border>
    <border>
      <left style="hair">
        <color indexed="8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9" fillId="0" borderId="0">
      <alignment vertical="center"/>
    </xf>
    <xf numFmtId="0" fontId="19" fillId="0" borderId="0"/>
  </cellStyleXfs>
  <cellXfs count="319">
    <xf numFmtId="0" fontId="0" fillId="0" borderId="0" xfId="0"/>
    <xf numFmtId="0" fontId="3" fillId="0" borderId="3" xfId="0" applyFont="1" applyBorder="1"/>
    <xf numFmtId="0" fontId="4" fillId="0" borderId="5" xfId="1" applyFont="1" applyBorder="1"/>
    <xf numFmtId="0" fontId="4" fillId="0" borderId="6" xfId="1" applyFont="1" applyBorder="1" applyAlignment="1">
      <alignment horizont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/>
    </xf>
    <xf numFmtId="0" fontId="5" fillId="2" borderId="9" xfId="1" applyFont="1" applyFill="1" applyBorder="1"/>
    <xf numFmtId="0" fontId="4" fillId="0" borderId="10" xfId="1" applyFont="1" applyBorder="1" applyAlignment="1">
      <alignment horizontal="center"/>
    </xf>
    <xf numFmtId="0" fontId="6" fillId="0" borderId="0" xfId="0" applyFont="1" applyBorder="1"/>
    <xf numFmtId="0" fontId="4" fillId="0" borderId="11" xfId="1" applyFont="1" applyBorder="1"/>
    <xf numFmtId="0" fontId="7" fillId="0" borderId="0" xfId="1" applyFont="1" applyBorder="1"/>
    <xf numFmtId="0" fontId="4" fillId="0" borderId="12" xfId="1" applyFont="1" applyBorder="1"/>
    <xf numFmtId="2" fontId="4" fillId="0" borderId="13" xfId="1" applyNumberFormat="1" applyFont="1" applyBorder="1" applyAlignment="1">
      <alignment horizontal="center" vertical="center"/>
    </xf>
    <xf numFmtId="0" fontId="4" fillId="0" borderId="1" xfId="1" applyFont="1" applyBorder="1"/>
    <xf numFmtId="0" fontId="4" fillId="0" borderId="14" xfId="1" applyFont="1" applyBorder="1" applyAlignment="1">
      <alignment horizontal="center"/>
    </xf>
    <xf numFmtId="0" fontId="7" fillId="0" borderId="3" xfId="1" applyFont="1" applyBorder="1"/>
    <xf numFmtId="0" fontId="4" fillId="0" borderId="14" xfId="1" applyFont="1" applyBorder="1"/>
    <xf numFmtId="0" fontId="4" fillId="0" borderId="15" xfId="1" applyFont="1" applyBorder="1" applyAlignment="1">
      <alignment horizontal="center" vertical="center"/>
    </xf>
    <xf numFmtId="0" fontId="4" fillId="0" borderId="16" xfId="1" applyFont="1" applyBorder="1"/>
    <xf numFmtId="0" fontId="4" fillId="0" borderId="17" xfId="1" applyFont="1" applyBorder="1" applyAlignment="1">
      <alignment horizontal="center" vertical="center"/>
    </xf>
    <xf numFmtId="0" fontId="4" fillId="0" borderId="20" xfId="1" applyFont="1" applyBorder="1"/>
    <xf numFmtId="1" fontId="4" fillId="0" borderId="21" xfId="1" applyNumberFormat="1" applyFont="1" applyBorder="1" applyAlignment="1">
      <alignment horizontal="center" vertical="center"/>
    </xf>
    <xf numFmtId="0" fontId="9" fillId="0" borderId="7" xfId="1" applyFont="1" applyBorder="1" applyAlignment="1">
      <alignment horizontal="center"/>
    </xf>
    <xf numFmtId="0" fontId="4" fillId="0" borderId="18" xfId="1" applyFont="1" applyBorder="1" applyAlignment="1">
      <alignment horizontal="center"/>
    </xf>
    <xf numFmtId="0" fontId="4" fillId="0" borderId="19" xfId="1" applyFont="1" applyBorder="1" applyAlignment="1">
      <alignment horizontal="center"/>
    </xf>
    <xf numFmtId="0" fontId="4" fillId="0" borderId="22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 wrapText="1"/>
    </xf>
    <xf numFmtId="0" fontId="5" fillId="2" borderId="22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2" fillId="4" borderId="23" xfId="1" applyFont="1" applyFill="1" applyBorder="1" applyAlignment="1">
      <alignment horizontal="center" vertical="center"/>
    </xf>
    <xf numFmtId="0" fontId="13" fillId="0" borderId="25" xfId="1" applyFont="1" applyFill="1" applyBorder="1" applyAlignment="1">
      <alignment horizontal="center" vertical="center"/>
    </xf>
    <xf numFmtId="0" fontId="14" fillId="5" borderId="26" xfId="0" applyFont="1" applyFill="1" applyBorder="1" applyAlignment="1" applyProtection="1">
      <alignment horizontal="left"/>
      <protection locked="0"/>
    </xf>
    <xf numFmtId="0" fontId="4" fillId="0" borderId="16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5" fillId="2" borderId="24" xfId="1" applyFont="1" applyFill="1" applyBorder="1" applyAlignment="1">
      <alignment horizontal="center" vertical="center"/>
    </xf>
    <xf numFmtId="0" fontId="5" fillId="0" borderId="27" xfId="1" applyFont="1" applyFill="1" applyBorder="1" applyAlignment="1">
      <alignment horizontal="center" vertical="center" textRotation="90"/>
    </xf>
    <xf numFmtId="0" fontId="11" fillId="4" borderId="16" xfId="0" applyFont="1" applyFill="1" applyBorder="1" applyAlignment="1">
      <alignment horizontal="center" vertical="center"/>
    </xf>
    <xf numFmtId="0" fontId="12" fillId="4" borderId="0" xfId="1" applyFont="1" applyFill="1" applyBorder="1" applyAlignment="1">
      <alignment horizontal="center" vertical="center"/>
    </xf>
    <xf numFmtId="0" fontId="13" fillId="0" borderId="0" xfId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6" fillId="3" borderId="13" xfId="1" applyFont="1" applyFill="1" applyBorder="1" applyAlignment="1">
      <alignment horizontal="center" vertical="center"/>
    </xf>
    <xf numFmtId="0" fontId="12" fillId="3" borderId="9" xfId="1" applyFont="1" applyFill="1" applyBorder="1" applyAlignment="1">
      <alignment horizontal="center" vertical="center"/>
    </xf>
    <xf numFmtId="0" fontId="5" fillId="4" borderId="0" xfId="1" applyFont="1" applyFill="1" applyBorder="1" applyAlignment="1">
      <alignment horizontal="center" vertical="center"/>
    </xf>
    <xf numFmtId="0" fontId="16" fillId="4" borderId="13" xfId="1" applyFont="1" applyFill="1" applyBorder="1" applyAlignment="1">
      <alignment horizontal="center" vertical="center"/>
    </xf>
    <xf numFmtId="0" fontId="15" fillId="4" borderId="29" xfId="0" applyFont="1" applyFill="1" applyBorder="1" applyAlignment="1">
      <alignment horizontal="center" vertical="center"/>
    </xf>
    <xf numFmtId="0" fontId="6" fillId="4" borderId="0" xfId="0" applyFont="1" applyFill="1" applyBorder="1"/>
    <xf numFmtId="0" fontId="15" fillId="4" borderId="30" xfId="0" applyFont="1" applyFill="1" applyBorder="1" applyAlignment="1">
      <alignment horizontal="center" vertical="center"/>
    </xf>
    <xf numFmtId="0" fontId="12" fillId="3" borderId="16" xfId="1" applyFont="1" applyFill="1" applyBorder="1" applyAlignment="1">
      <alignment horizontal="center" vertical="center"/>
    </xf>
    <xf numFmtId="0" fontId="4" fillId="4" borderId="19" xfId="1" applyFont="1" applyFill="1" applyBorder="1" applyAlignment="1">
      <alignment horizontal="center" vertical="center"/>
    </xf>
    <xf numFmtId="0" fontId="12" fillId="3" borderId="0" xfId="1" applyFont="1" applyFill="1" applyBorder="1" applyAlignment="1">
      <alignment horizontal="center" vertical="center"/>
    </xf>
    <xf numFmtId="0" fontId="4" fillId="4" borderId="0" xfId="1" applyFont="1" applyFill="1" applyBorder="1" applyAlignment="1">
      <alignment horizontal="center" vertical="center"/>
    </xf>
    <xf numFmtId="0" fontId="12" fillId="4" borderId="16" xfId="1" applyFont="1" applyFill="1" applyBorder="1" applyAlignment="1">
      <alignment horizontal="center" vertical="center"/>
    </xf>
    <xf numFmtId="0" fontId="5" fillId="4" borderId="31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5" fillId="4" borderId="13" xfId="1" applyFont="1" applyFill="1" applyBorder="1" applyAlignment="1">
      <alignment horizontal="center" vertical="center"/>
    </xf>
    <xf numFmtId="0" fontId="12" fillId="0" borderId="16" xfId="1" applyFont="1" applyFill="1" applyBorder="1" applyAlignment="1">
      <alignment horizontal="center" vertical="center"/>
    </xf>
    <xf numFmtId="0" fontId="12" fillId="6" borderId="33" xfId="1" applyFont="1" applyFill="1" applyBorder="1" applyAlignment="1">
      <alignment horizontal="center" vertical="center"/>
    </xf>
    <xf numFmtId="0" fontId="5" fillId="6" borderId="0" xfId="1" applyFont="1" applyFill="1" applyBorder="1" applyAlignment="1">
      <alignment horizontal="center" vertical="center"/>
    </xf>
    <xf numFmtId="0" fontId="7" fillId="6" borderId="0" xfId="1" applyFont="1" applyFill="1" applyBorder="1" applyAlignment="1">
      <alignment horizontal="center" vertical="center" textRotation="180" wrapText="1"/>
    </xf>
    <xf numFmtId="0" fontId="11" fillId="4" borderId="22" xfId="0" applyFont="1" applyFill="1" applyBorder="1" applyAlignment="1">
      <alignment horizontal="center" vertical="center"/>
    </xf>
    <xf numFmtId="0" fontId="12" fillId="6" borderId="34" xfId="1" applyFont="1" applyFill="1" applyBorder="1" applyAlignment="1">
      <alignment horizontal="center"/>
    </xf>
    <xf numFmtId="0" fontId="17" fillId="6" borderId="10" xfId="1" applyFont="1" applyFill="1" applyBorder="1" applyAlignment="1">
      <alignment horizontal="center" vertical="center"/>
    </xf>
    <xf numFmtId="0" fontId="12" fillId="3" borderId="29" xfId="1" applyFont="1" applyFill="1" applyBorder="1" applyAlignment="1">
      <alignment horizontal="center"/>
    </xf>
    <xf numFmtId="0" fontId="15" fillId="0" borderId="16" xfId="0" applyFont="1" applyBorder="1"/>
    <xf numFmtId="0" fontId="15" fillId="0" borderId="0" xfId="0" applyFont="1" applyBorder="1"/>
    <xf numFmtId="0" fontId="7" fillId="0" borderId="16" xfId="1" applyFont="1" applyBorder="1"/>
    <xf numFmtId="0" fontId="4" fillId="0" borderId="0" xfId="1" applyFont="1" applyBorder="1"/>
    <xf numFmtId="0" fontId="4" fillId="0" borderId="16" xfId="1" applyFont="1" applyBorder="1" applyAlignment="1">
      <alignment horizontal="left"/>
    </xf>
    <xf numFmtId="0" fontId="4" fillId="0" borderId="16" xfId="1" applyFont="1" applyBorder="1" applyAlignment="1">
      <alignment horizontal="center"/>
    </xf>
    <xf numFmtId="0" fontId="4" fillId="0" borderId="13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17" fillId="0" borderId="35" xfId="1" applyFont="1" applyBorder="1"/>
    <xf numFmtId="0" fontId="4" fillId="0" borderId="35" xfId="1" applyFont="1" applyBorder="1"/>
    <xf numFmtId="0" fontId="4" fillId="0" borderId="28" xfId="1" applyFont="1" applyBorder="1" applyAlignment="1">
      <alignment horizontal="center"/>
    </xf>
    <xf numFmtId="0" fontId="0" fillId="0" borderId="16" xfId="0" applyBorder="1"/>
    <xf numFmtId="0" fontId="0" fillId="0" borderId="0" xfId="0" applyBorder="1"/>
    <xf numFmtId="0" fontId="15" fillId="0" borderId="24" xfId="0" applyFont="1" applyFill="1" applyBorder="1" applyAlignment="1">
      <alignment textRotation="90"/>
    </xf>
    <xf numFmtId="0" fontId="8" fillId="4" borderId="10" xfId="0" applyFont="1" applyFill="1" applyBorder="1" applyAlignment="1">
      <alignment horizontal="center" vertical="center"/>
    </xf>
    <xf numFmtId="0" fontId="5" fillId="0" borderId="27" xfId="1" applyFont="1" applyFill="1" applyBorder="1" applyAlignment="1">
      <alignment horizontal="center" vertical="center"/>
    </xf>
    <xf numFmtId="0" fontId="13" fillId="0" borderId="9" xfId="1" applyFont="1" applyFill="1" applyBorder="1" applyAlignment="1">
      <alignment horizontal="center" vertical="center"/>
    </xf>
    <xf numFmtId="0" fontId="5" fillId="0" borderId="24" xfId="1" applyFont="1" applyFill="1" applyBorder="1" applyAlignment="1">
      <alignment horizontal="center" vertical="center" textRotation="90"/>
    </xf>
    <xf numFmtId="0" fontId="5" fillId="0" borderId="24" xfId="1" applyFont="1" applyFill="1" applyBorder="1" applyAlignment="1">
      <alignment horizontal="center" vertical="center"/>
    </xf>
    <xf numFmtId="0" fontId="9" fillId="4" borderId="13" xfId="0" applyFont="1" applyFill="1" applyBorder="1" applyAlignment="1" applyProtection="1">
      <alignment horizontal="center" vertical="center"/>
      <protection locked="0"/>
    </xf>
    <xf numFmtId="0" fontId="5" fillId="3" borderId="0" xfId="1" applyFont="1" applyFill="1" applyBorder="1" applyAlignment="1">
      <alignment horizontal="center" vertical="center"/>
    </xf>
    <xf numFmtId="0" fontId="4" fillId="0" borderId="0" xfId="1" applyFont="1" applyBorder="1" applyAlignment="1">
      <alignment horizontal="center"/>
    </xf>
    <xf numFmtId="0" fontId="9" fillId="4" borderId="16" xfId="0" applyFont="1" applyFill="1" applyBorder="1" applyAlignment="1" applyProtection="1">
      <alignment horizontal="center" vertical="center"/>
      <protection locked="0"/>
    </xf>
    <xf numFmtId="0" fontId="5" fillId="0" borderId="0" xfId="1" applyFont="1" applyFill="1" applyBorder="1" applyAlignment="1">
      <alignment horizontal="center" vertical="center"/>
    </xf>
    <xf numFmtId="0" fontId="9" fillId="4" borderId="13" xfId="0" applyFont="1" applyFill="1" applyBorder="1" applyAlignment="1" applyProtection="1">
      <alignment horizontal="center" vertical="center"/>
      <protection locked="0"/>
    </xf>
    <xf numFmtId="0" fontId="9" fillId="4" borderId="16" xfId="0" applyFont="1" applyFill="1" applyBorder="1" applyAlignment="1" applyProtection="1">
      <alignment horizontal="center" vertical="center"/>
      <protection locked="0"/>
    </xf>
    <xf numFmtId="0" fontId="5" fillId="6" borderId="27" xfId="1" applyFont="1" applyFill="1" applyBorder="1" applyAlignment="1">
      <alignment horizontal="center" vertical="center"/>
    </xf>
    <xf numFmtId="0" fontId="5" fillId="6" borderId="22" xfId="1" applyFont="1" applyFill="1" applyBorder="1" applyAlignment="1">
      <alignment horizontal="center" vertical="center"/>
    </xf>
    <xf numFmtId="1" fontId="4" fillId="0" borderId="8" xfId="1" applyNumberFormat="1" applyFont="1" applyBorder="1" applyAlignment="1">
      <alignment horizontal="center"/>
    </xf>
    <xf numFmtId="0" fontId="5" fillId="0" borderId="24" xfId="1" applyFont="1" applyFill="1" applyBorder="1" applyAlignment="1">
      <alignment horizontal="center" vertical="center"/>
    </xf>
    <xf numFmtId="0" fontId="9" fillId="4" borderId="13" xfId="0" applyFont="1" applyFill="1" applyBorder="1" applyAlignment="1" applyProtection="1">
      <alignment horizontal="center" vertical="center"/>
      <protection locked="0"/>
    </xf>
    <xf numFmtId="0" fontId="9" fillId="4" borderId="0" xfId="0" applyFont="1" applyFill="1" applyBorder="1" applyAlignment="1" applyProtection="1">
      <alignment horizontal="center" vertical="center"/>
      <protection locked="0"/>
    </xf>
    <xf numFmtId="0" fontId="5" fillId="3" borderId="0" xfId="1" applyFont="1" applyFill="1" applyBorder="1" applyAlignment="1">
      <alignment horizontal="center" vertical="center"/>
    </xf>
    <xf numFmtId="0" fontId="15" fillId="0" borderId="24" xfId="0" applyFont="1" applyFill="1" applyBorder="1" applyAlignment="1"/>
    <xf numFmtId="0" fontId="15" fillId="0" borderId="27" xfId="0" applyFont="1" applyFill="1" applyBorder="1" applyAlignment="1"/>
    <xf numFmtId="0" fontId="12" fillId="0" borderId="27" xfId="1" applyFont="1" applyFill="1" applyBorder="1" applyAlignment="1">
      <alignment horizontal="center" vertical="center" wrapText="1"/>
    </xf>
    <xf numFmtId="0" fontId="5" fillId="0" borderId="27" xfId="1" applyFont="1" applyFill="1" applyBorder="1" applyAlignment="1">
      <alignment horizontal="center" vertical="center" textRotation="2"/>
    </xf>
    <xf numFmtId="0" fontId="5" fillId="0" borderId="24" xfId="1" applyFont="1" applyFill="1" applyBorder="1" applyAlignment="1">
      <alignment horizontal="center" vertical="center" textRotation="2"/>
    </xf>
    <xf numFmtId="0" fontId="15" fillId="0" borderId="24" xfId="0" applyFont="1" applyFill="1" applyBorder="1" applyAlignment="1">
      <alignment textRotation="2"/>
    </xf>
    <xf numFmtId="0" fontId="12" fillId="0" borderId="24" xfId="1" applyFont="1" applyFill="1" applyBorder="1" applyAlignment="1">
      <alignment horizontal="center" vertical="center" textRotation="2"/>
    </xf>
    <xf numFmtId="0" fontId="12" fillId="0" borderId="27" xfId="1" applyFont="1" applyFill="1" applyBorder="1" applyAlignment="1">
      <alignment horizontal="center" vertical="center" textRotation="2"/>
    </xf>
    <xf numFmtId="0" fontId="12" fillId="0" borderId="27" xfId="1" applyFont="1" applyFill="1" applyBorder="1" applyAlignment="1">
      <alignment horizontal="center" vertical="center" textRotation="2" wrapText="1"/>
    </xf>
    <xf numFmtId="0" fontId="12" fillId="0" borderId="32" xfId="1" applyFont="1" applyFill="1" applyBorder="1" applyAlignment="1">
      <alignment horizontal="center" vertical="center" textRotation="2"/>
    </xf>
    <xf numFmtId="0" fontId="5" fillId="3" borderId="0" xfId="1" applyFont="1" applyFill="1" applyBorder="1" applyAlignment="1">
      <alignment vertical="center"/>
    </xf>
    <xf numFmtId="0" fontId="4" fillId="0" borderId="0" xfId="1" applyFont="1" applyFill="1" applyBorder="1"/>
    <xf numFmtId="0" fontId="9" fillId="4" borderId="0" xfId="0" applyFont="1" applyFill="1" applyBorder="1" applyAlignment="1" applyProtection="1">
      <alignment vertical="center"/>
      <protection locked="0"/>
    </xf>
    <xf numFmtId="0" fontId="5" fillId="3" borderId="36" xfId="1" applyFont="1" applyFill="1" applyBorder="1" applyAlignment="1">
      <alignment horizontal="center"/>
    </xf>
    <xf numFmtId="0" fontId="18" fillId="0" borderId="0" xfId="0" applyFont="1" applyBorder="1"/>
    <xf numFmtId="0" fontId="17" fillId="0" borderId="37" xfId="1" applyFont="1" applyBorder="1"/>
    <xf numFmtId="0" fontId="7" fillId="0" borderId="8" xfId="1" applyFont="1" applyBorder="1"/>
    <xf numFmtId="0" fontId="7" fillId="0" borderId="8" xfId="1" applyFont="1" applyBorder="1" applyAlignment="1">
      <alignment horizontal="center" vertical="center"/>
    </xf>
    <xf numFmtId="0" fontId="9" fillId="4" borderId="8" xfId="0" applyFont="1" applyFill="1" applyBorder="1" applyAlignment="1" applyProtection="1">
      <alignment vertical="center"/>
      <protection locked="0"/>
    </xf>
    <xf numFmtId="0" fontId="17" fillId="0" borderId="8" xfId="1" applyFont="1" applyFill="1" applyBorder="1" applyAlignment="1">
      <alignment horizontal="center" vertical="center"/>
    </xf>
    <xf numFmtId="0" fontId="5" fillId="0" borderId="24" xfId="1" applyFont="1" applyFill="1" applyBorder="1" applyAlignment="1">
      <alignment horizontal="center" vertical="center" textRotation="2"/>
    </xf>
    <xf numFmtId="0" fontId="5" fillId="0" borderId="24" xfId="1" applyFont="1" applyFill="1" applyBorder="1" applyAlignment="1">
      <alignment horizontal="center" vertical="center"/>
    </xf>
    <xf numFmtId="0" fontId="9" fillId="4" borderId="16" xfId="0" applyFont="1" applyFill="1" applyBorder="1" applyAlignment="1" applyProtection="1">
      <alignment horizontal="center" vertical="center"/>
      <protection locked="0"/>
    </xf>
    <xf numFmtId="0" fontId="9" fillId="4" borderId="13" xfId="0" applyFont="1" applyFill="1" applyBorder="1" applyAlignment="1" applyProtection="1">
      <alignment horizontal="center" vertical="center"/>
      <protection locked="0"/>
    </xf>
    <xf numFmtId="0" fontId="11" fillId="4" borderId="10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1" fillId="0" borderId="0" xfId="0" applyFont="1" applyAlignment="1"/>
    <xf numFmtId="0" fontId="22" fillId="0" borderId="0" xfId="0" applyFont="1" applyAlignment="1">
      <alignment vertical="center"/>
    </xf>
    <xf numFmtId="0" fontId="23" fillId="4" borderId="0" xfId="0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7" fillId="0" borderId="0" xfId="0" applyFont="1" applyBorder="1" applyAlignment="1">
      <alignment horizontal="center" vertical="center"/>
    </xf>
    <xf numFmtId="0" fontId="31" fillId="0" borderId="42" xfId="4" applyFont="1" applyBorder="1">
      <alignment vertical="center"/>
    </xf>
    <xf numFmtId="1" fontId="31" fillId="8" borderId="43" xfId="4" applyNumberFormat="1" applyFont="1" applyFill="1" applyBorder="1" applyAlignment="1">
      <alignment horizontal="center" vertical="center"/>
    </xf>
    <xf numFmtId="0" fontId="31" fillId="8" borderId="43" xfId="4" applyFont="1" applyFill="1" applyBorder="1" applyAlignment="1">
      <alignment horizontal="center" vertical="center"/>
    </xf>
    <xf numFmtId="0" fontId="31" fillId="0" borderId="43" xfId="4" applyFont="1" applyBorder="1" applyAlignment="1">
      <alignment horizontal="center" vertical="center" wrapText="1"/>
    </xf>
    <xf numFmtId="0" fontId="31" fillId="9" borderId="43" xfId="4" applyFont="1" applyFill="1" applyBorder="1" applyAlignment="1">
      <alignment horizontal="center" vertical="center"/>
    </xf>
    <xf numFmtId="0" fontId="32" fillId="9" borderId="0" xfId="5" applyFont="1" applyFill="1" applyAlignment="1">
      <alignment horizontal="center" vertical="center"/>
    </xf>
    <xf numFmtId="16" fontId="31" fillId="0" borderId="46" xfId="4" applyNumberFormat="1" applyFont="1" applyBorder="1" applyAlignment="1">
      <alignment horizontal="left" vertical="center"/>
    </xf>
    <xf numFmtId="16" fontId="31" fillId="8" borderId="47" xfId="4" applyNumberFormat="1" applyFont="1" applyFill="1" applyBorder="1" applyAlignment="1">
      <alignment horizontal="center" vertical="center"/>
    </xf>
    <xf numFmtId="0" fontId="31" fillId="0" borderId="43" xfId="4" applyFont="1" applyBorder="1">
      <alignment vertical="center"/>
    </xf>
    <xf numFmtId="16" fontId="31" fillId="9" borderId="43" xfId="4" applyNumberFormat="1" applyFont="1" applyFill="1" applyBorder="1" applyAlignment="1">
      <alignment horizontal="center" vertical="center"/>
    </xf>
    <xf numFmtId="0" fontId="31" fillId="0" borderId="48" xfId="4" applyFont="1" applyBorder="1" applyAlignment="1">
      <alignment horizontal="center" vertical="center" wrapText="1"/>
    </xf>
    <xf numFmtId="0" fontId="31" fillId="0" borderId="49" xfId="4" applyFont="1" applyBorder="1">
      <alignment vertical="center"/>
    </xf>
    <xf numFmtId="49" fontId="31" fillId="8" borderId="50" xfId="4" applyNumberFormat="1" applyFont="1" applyFill="1" applyBorder="1" applyAlignment="1">
      <alignment horizontal="center" vertical="center"/>
    </xf>
    <xf numFmtId="0" fontId="31" fillId="0" borderId="50" xfId="4" applyFont="1" applyBorder="1" applyAlignment="1">
      <alignment horizontal="center" vertical="center"/>
    </xf>
    <xf numFmtId="0" fontId="31" fillId="0" borderId="50" xfId="4" applyFont="1" applyBorder="1" applyAlignment="1">
      <alignment horizontal="center" vertical="center" wrapText="1"/>
    </xf>
    <xf numFmtId="0" fontId="31" fillId="9" borderId="50" xfId="4" applyFont="1" applyFill="1" applyBorder="1" applyAlignment="1">
      <alignment horizontal="center" vertical="center"/>
    </xf>
    <xf numFmtId="16" fontId="31" fillId="9" borderId="50" xfId="4" applyNumberFormat="1" applyFont="1" applyFill="1" applyBorder="1" applyAlignment="1">
      <alignment horizontal="center" vertical="center"/>
    </xf>
    <xf numFmtId="164" fontId="31" fillId="9" borderId="50" xfId="4" applyNumberFormat="1" applyFont="1" applyFill="1" applyBorder="1" applyAlignment="1">
      <alignment horizontal="center" vertical="center"/>
    </xf>
    <xf numFmtId="0" fontId="31" fillId="0" borderId="53" xfId="4" applyFont="1" applyBorder="1" applyAlignment="1">
      <alignment horizontal="center" vertical="center" wrapText="1"/>
    </xf>
    <xf numFmtId="0" fontId="31" fillId="0" borderId="59" xfId="4" applyFont="1" applyBorder="1" applyAlignment="1">
      <alignment horizontal="center" vertical="center" wrapText="1"/>
    </xf>
    <xf numFmtId="0" fontId="31" fillId="0" borderId="60" xfId="4" applyFont="1" applyBorder="1" applyAlignment="1">
      <alignment horizontal="center" vertical="center" wrapText="1"/>
    </xf>
    <xf numFmtId="0" fontId="35" fillId="12" borderId="64" xfId="4" applyFont="1" applyFill="1" applyBorder="1" applyAlignment="1">
      <alignment horizontal="center" vertical="center"/>
    </xf>
    <xf numFmtId="1" fontId="35" fillId="13" borderId="43" xfId="4" applyNumberFormat="1" applyFont="1" applyFill="1" applyBorder="1" applyAlignment="1">
      <alignment horizontal="center" vertical="center"/>
    </xf>
    <xf numFmtId="1" fontId="31" fillId="14" borderId="43" xfId="4" applyNumberFormat="1" applyFont="1" applyFill="1" applyBorder="1" applyAlignment="1">
      <alignment horizontal="center" vertical="center"/>
    </xf>
    <xf numFmtId="14" fontId="31" fillId="0" borderId="43" xfId="4" applyNumberFormat="1" applyFont="1" applyBorder="1" applyAlignment="1">
      <alignment horizontal="center" vertical="center"/>
    </xf>
    <xf numFmtId="0" fontId="35" fillId="0" borderId="66" xfId="4" applyFont="1" applyBorder="1" applyAlignment="1">
      <alignment horizontal="left" vertical="center"/>
    </xf>
    <xf numFmtId="0" fontId="35" fillId="0" borderId="43" xfId="4" applyFont="1" applyBorder="1" applyAlignment="1">
      <alignment horizontal="center" vertical="center"/>
    </xf>
    <xf numFmtId="0" fontId="35" fillId="0" borderId="48" xfId="4" applyFont="1" applyBorder="1" applyAlignment="1">
      <alignment horizontal="center" vertical="center" wrapText="1"/>
    </xf>
    <xf numFmtId="1" fontId="35" fillId="13" borderId="45" xfId="4" applyNumberFormat="1" applyFont="1" applyFill="1" applyBorder="1" applyAlignment="1">
      <alignment horizontal="center" vertical="center"/>
    </xf>
    <xf numFmtId="0" fontId="35" fillId="0" borderId="60" xfId="4" applyFont="1" applyBorder="1" applyAlignment="1">
      <alignment horizontal="center" vertical="center" wrapText="1"/>
    </xf>
    <xf numFmtId="0" fontId="35" fillId="0" borderId="66" xfId="4" applyFont="1" applyBorder="1" applyAlignment="1">
      <alignment horizontal="center" vertical="center"/>
    </xf>
    <xf numFmtId="1" fontId="35" fillId="0" borderId="45" xfId="4" applyNumberFormat="1" applyFont="1" applyBorder="1" applyAlignment="1">
      <alignment horizontal="center" vertical="center"/>
    </xf>
    <xf numFmtId="1" fontId="31" fillId="2" borderId="43" xfId="4" applyNumberFormat="1" applyFont="1" applyFill="1" applyBorder="1" applyAlignment="1">
      <alignment horizontal="center" vertical="center"/>
    </xf>
    <xf numFmtId="14" fontId="31" fillId="2" borderId="43" xfId="4" applyNumberFormat="1" applyFont="1" applyFill="1" applyBorder="1" applyAlignment="1">
      <alignment horizontal="center" vertical="center"/>
    </xf>
    <xf numFmtId="1" fontId="31" fillId="0" borderId="45" xfId="4" applyNumberFormat="1" applyFont="1" applyBorder="1" applyAlignment="1">
      <alignment horizontal="center" vertical="center" wrapText="1"/>
    </xf>
    <xf numFmtId="1" fontId="35" fillId="0" borderId="71" xfId="4" applyNumberFormat="1" applyFont="1" applyBorder="1" applyAlignment="1">
      <alignment horizontal="center" vertical="center"/>
    </xf>
    <xf numFmtId="1" fontId="35" fillId="0" borderId="43" xfId="4" applyNumberFormat="1" applyFont="1" applyBorder="1" applyAlignment="1">
      <alignment horizontal="center" vertical="center"/>
    </xf>
    <xf numFmtId="0" fontId="31" fillId="0" borderId="43" xfId="4" applyFont="1" applyBorder="1" applyAlignment="1">
      <alignment horizontal="center" vertical="center"/>
    </xf>
    <xf numFmtId="0" fontId="35" fillId="12" borderId="59" xfId="4" applyFont="1" applyFill="1" applyBorder="1" applyAlignment="1">
      <alignment horizontal="center" vertical="center" wrapText="1"/>
    </xf>
    <xf numFmtId="0" fontId="35" fillId="13" borderId="43" xfId="4" applyFont="1" applyFill="1" applyBorder="1" applyAlignment="1">
      <alignment horizontal="center" vertical="center"/>
    </xf>
    <xf numFmtId="0" fontId="31" fillId="13" borderId="43" xfId="4" applyFont="1" applyFill="1" applyBorder="1" applyAlignment="1">
      <alignment horizontal="center" vertical="center"/>
    </xf>
    <xf numFmtId="0" fontId="35" fillId="0" borderId="72" xfId="4" applyFont="1" applyBorder="1" applyAlignment="1">
      <alignment horizontal="left" vertical="center"/>
    </xf>
    <xf numFmtId="0" fontId="35" fillId="0" borderId="73" xfId="4" applyFont="1" applyBorder="1" applyAlignment="1">
      <alignment horizontal="center" vertical="center"/>
    </xf>
    <xf numFmtId="0" fontId="35" fillId="0" borderId="74" xfId="4" applyFont="1" applyBorder="1" applyAlignment="1">
      <alignment horizontal="center" vertical="center" wrapText="1"/>
    </xf>
    <xf numFmtId="0" fontId="35" fillId="0" borderId="0" xfId="4" applyFont="1" applyAlignment="1">
      <alignment horizontal="center" vertical="center"/>
    </xf>
    <xf numFmtId="14" fontId="31" fillId="0" borderId="45" xfId="4" applyNumberFormat="1" applyFont="1" applyBorder="1" applyAlignment="1">
      <alignment horizontal="center" vertical="center"/>
    </xf>
    <xf numFmtId="0" fontId="35" fillId="15" borderId="44" xfId="4" applyFont="1" applyFill="1" applyBorder="1" applyAlignment="1">
      <alignment horizontal="center" vertical="center"/>
    </xf>
    <xf numFmtId="0" fontId="35" fillId="0" borderId="45" xfId="4" applyFont="1" applyBorder="1" applyAlignment="1">
      <alignment horizontal="center" vertical="center" wrapText="1"/>
    </xf>
    <xf numFmtId="0" fontId="35" fillId="0" borderId="43" xfId="4" applyFont="1" applyBorder="1" applyAlignment="1">
      <alignment horizontal="center" vertical="center" wrapText="1"/>
    </xf>
    <xf numFmtId="0" fontId="35" fillId="0" borderId="59" xfId="4" applyFont="1" applyBorder="1" applyAlignment="1">
      <alignment horizontal="center" vertical="center" wrapText="1"/>
    </xf>
    <xf numFmtId="0" fontId="31" fillId="0" borderId="45" xfId="4" applyFont="1" applyBorder="1" applyAlignment="1">
      <alignment horizontal="center" vertical="center"/>
    </xf>
    <xf numFmtId="0" fontId="35" fillId="12" borderId="45" xfId="4" applyFont="1" applyFill="1" applyBorder="1" applyAlignment="1">
      <alignment horizontal="center" vertical="center"/>
    </xf>
    <xf numFmtId="0" fontId="35" fillId="15" borderId="43" xfId="4" applyFont="1" applyFill="1" applyBorder="1" applyAlignment="1">
      <alignment horizontal="center" vertical="center" wrapText="1"/>
    </xf>
    <xf numFmtId="0" fontId="31" fillId="0" borderId="78" xfId="4" applyFont="1" applyBorder="1" applyAlignment="1">
      <alignment horizontal="center" vertical="center"/>
    </xf>
    <xf numFmtId="0" fontId="35" fillId="0" borderId="45" xfId="4" applyFont="1" applyBorder="1" applyAlignment="1">
      <alignment horizontal="center" vertical="center"/>
    </xf>
    <xf numFmtId="0" fontId="31" fillId="15" borderId="44" xfId="4" applyFont="1" applyFill="1" applyBorder="1" applyAlignment="1">
      <alignment horizontal="center" vertical="center"/>
    </xf>
    <xf numFmtId="0" fontId="35" fillId="12" borderId="45" xfId="4" applyFont="1" applyFill="1" applyBorder="1" applyAlignment="1">
      <alignment horizontal="center" vertical="center" wrapText="1"/>
    </xf>
    <xf numFmtId="0" fontId="35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5" fillId="13" borderId="59" xfId="4" applyFont="1" applyFill="1" applyBorder="1" applyAlignment="1">
      <alignment horizontal="center" vertical="center"/>
    </xf>
    <xf numFmtId="16" fontId="35" fillId="13" borderId="43" xfId="4" applyNumberFormat="1" applyFont="1" applyFill="1" applyBorder="1" applyAlignment="1">
      <alignment horizontal="center" vertical="center"/>
    </xf>
    <xf numFmtId="2" fontId="35" fillId="13" borderId="43" xfId="4" applyNumberFormat="1" applyFont="1" applyFill="1" applyBorder="1" applyAlignment="1">
      <alignment horizontal="center" vertical="center"/>
    </xf>
    <xf numFmtId="0" fontId="35" fillId="13" borderId="49" xfId="4" applyFont="1" applyFill="1" applyBorder="1" applyAlignment="1">
      <alignment horizontal="center" vertical="center"/>
    </xf>
    <xf numFmtId="0" fontId="35" fillId="13" borderId="73" xfId="4" applyFont="1" applyFill="1" applyBorder="1" applyAlignment="1">
      <alignment horizontal="center" vertical="center"/>
    </xf>
    <xf numFmtId="0" fontId="35" fillId="0" borderId="79" xfId="4" applyFont="1" applyBorder="1" applyAlignment="1">
      <alignment horizontal="center" vertical="center" wrapText="1"/>
    </xf>
    <xf numFmtId="0" fontId="35" fillId="12" borderId="52" xfId="4" applyFont="1" applyFill="1" applyBorder="1" applyAlignment="1">
      <alignment horizontal="center" vertical="center"/>
    </xf>
    <xf numFmtId="0" fontId="31" fillId="0" borderId="73" xfId="4" applyFont="1" applyBorder="1" applyAlignment="1">
      <alignment horizontal="center" vertical="center"/>
    </xf>
    <xf numFmtId="0" fontId="35" fillId="12" borderId="59" xfId="4" applyFont="1" applyFill="1" applyBorder="1" applyAlignment="1">
      <alignment horizontal="center" vertical="center"/>
    </xf>
    <xf numFmtId="0" fontId="35" fillId="17" borderId="43" xfId="4" applyFont="1" applyFill="1" applyBorder="1" applyAlignment="1">
      <alignment horizontal="center" vertical="center"/>
    </xf>
    <xf numFmtId="0" fontId="31" fillId="17" borderId="43" xfId="4" applyFont="1" applyFill="1" applyBorder="1" applyAlignment="1">
      <alignment horizontal="center" vertical="center"/>
    </xf>
    <xf numFmtId="0" fontId="35" fillId="12" borderId="43" xfId="4" applyFont="1" applyFill="1" applyBorder="1" applyAlignment="1">
      <alignment horizontal="center" vertical="center"/>
    </xf>
    <xf numFmtId="0" fontId="35" fillId="0" borderId="59" xfId="4" applyFont="1" applyBorder="1" applyAlignment="1">
      <alignment horizontal="center" vertical="center"/>
    </xf>
    <xf numFmtId="0" fontId="31" fillId="15" borderId="43" xfId="4" applyFont="1" applyFill="1" applyBorder="1" applyAlignment="1">
      <alignment horizontal="center" vertical="center"/>
    </xf>
    <xf numFmtId="0" fontId="35" fillId="0" borderId="43" xfId="4" applyFont="1" applyBorder="1">
      <alignment vertical="center"/>
    </xf>
    <xf numFmtId="0" fontId="35" fillId="19" borderId="43" xfId="4" applyFont="1" applyFill="1" applyBorder="1" applyAlignment="1">
      <alignment horizontal="center" vertical="center"/>
    </xf>
    <xf numFmtId="0" fontId="35" fillId="0" borderId="83" xfId="4" applyFont="1" applyBorder="1" applyAlignment="1">
      <alignment horizontal="center" vertical="center" wrapText="1"/>
    </xf>
    <xf numFmtId="0" fontId="35" fillId="0" borderId="50" xfId="4" applyFont="1" applyBorder="1" applyAlignment="1">
      <alignment horizontal="center" vertical="center"/>
    </xf>
    <xf numFmtId="0" fontId="35" fillId="0" borderId="50" xfId="4" applyFont="1" applyBorder="1" applyAlignment="1">
      <alignment horizontal="center" vertical="center" wrapText="1"/>
    </xf>
    <xf numFmtId="0" fontId="35" fillId="19" borderId="50" xfId="4" applyFont="1" applyFill="1" applyBorder="1" applyAlignment="1">
      <alignment horizontal="center" vertical="center"/>
    </xf>
    <xf numFmtId="0" fontId="35" fillId="0" borderId="50" xfId="4" applyFont="1" applyBorder="1">
      <alignment vertical="center"/>
    </xf>
    <xf numFmtId="0" fontId="35" fillId="0" borderId="53" xfId="4" applyFont="1" applyBorder="1" applyAlignment="1">
      <alignment horizontal="center" vertical="center" wrapText="1"/>
    </xf>
    <xf numFmtId="0" fontId="35" fillId="0" borderId="86" xfId="4" applyFont="1" applyBorder="1" applyAlignment="1">
      <alignment horizontal="center" vertical="center"/>
    </xf>
    <xf numFmtId="0" fontId="35" fillId="0" borderId="90" xfId="4" applyFont="1" applyBorder="1" applyAlignment="1">
      <alignment horizontal="center" vertical="center" wrapText="1"/>
    </xf>
    <xf numFmtId="0" fontId="31" fillId="0" borderId="0" xfId="4" applyFont="1">
      <alignment vertical="center"/>
    </xf>
    <xf numFmtId="0" fontId="31" fillId="0" borderId="0" xfId="4" applyFont="1" applyAlignment="1">
      <alignment horizontal="center" vertical="center"/>
    </xf>
    <xf numFmtId="0" fontId="31" fillId="0" borderId="0" xfId="4" applyFont="1" applyAlignment="1">
      <alignment horizontal="center" vertical="center" wrapText="1"/>
    </xf>
    <xf numFmtId="0" fontId="31" fillId="0" borderId="0" xfId="4" applyFont="1" applyAlignment="1">
      <alignment horizontal="left" vertical="center"/>
    </xf>
    <xf numFmtId="0" fontId="5" fillId="0" borderId="0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top"/>
    </xf>
    <xf numFmtId="0" fontId="2" fillId="0" borderId="2" xfId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top"/>
    </xf>
    <xf numFmtId="0" fontId="2" fillId="0" borderId="4" xfId="1" applyFont="1" applyBorder="1" applyAlignment="1">
      <alignment horizontal="center" vertical="top"/>
    </xf>
    <xf numFmtId="0" fontId="8" fillId="3" borderId="7" xfId="1" applyFont="1" applyFill="1" applyBorder="1" applyAlignment="1">
      <alignment horizontal="center"/>
    </xf>
    <xf numFmtId="0" fontId="8" fillId="3" borderId="18" xfId="1" applyFont="1" applyFill="1" applyBorder="1" applyAlignment="1">
      <alignment horizontal="center"/>
    </xf>
    <xf numFmtId="0" fontId="8" fillId="3" borderId="19" xfId="1" applyFont="1" applyFill="1" applyBorder="1" applyAlignment="1">
      <alignment horizontal="center"/>
    </xf>
    <xf numFmtId="0" fontId="10" fillId="2" borderId="18" xfId="1" applyFont="1" applyFill="1" applyBorder="1" applyAlignment="1">
      <alignment horizontal="center"/>
    </xf>
    <xf numFmtId="0" fontId="5" fillId="0" borderId="24" xfId="1" applyFont="1" applyFill="1" applyBorder="1" applyAlignment="1">
      <alignment horizontal="center" vertical="center"/>
    </xf>
    <xf numFmtId="0" fontId="5" fillId="0" borderId="22" xfId="1" applyFont="1" applyFill="1" applyBorder="1" applyAlignment="1">
      <alignment horizontal="center" vertical="center"/>
    </xf>
    <xf numFmtId="0" fontId="5" fillId="0" borderId="24" xfId="1" applyFont="1" applyFill="1" applyBorder="1" applyAlignment="1">
      <alignment horizontal="center" vertical="center" textRotation="90"/>
    </xf>
    <xf numFmtId="0" fontId="5" fillId="0" borderId="22" xfId="1" applyFont="1" applyFill="1" applyBorder="1" applyAlignment="1">
      <alignment horizontal="center" vertical="center" textRotation="90"/>
    </xf>
    <xf numFmtId="0" fontId="12" fillId="0" borderId="30" xfId="1" applyFont="1" applyFill="1" applyBorder="1" applyAlignment="1">
      <alignment horizontal="right" vertical="center"/>
    </xf>
    <xf numFmtId="0" fontId="12" fillId="0" borderId="4" xfId="1" applyFont="1" applyFill="1" applyBorder="1" applyAlignment="1">
      <alignment horizontal="right" vertical="center"/>
    </xf>
    <xf numFmtId="0" fontId="12" fillId="0" borderId="29" xfId="1" applyFont="1" applyFill="1" applyBorder="1" applyAlignment="1">
      <alignment horizontal="right" vertical="center"/>
    </xf>
    <xf numFmtId="0" fontId="12" fillId="0" borderId="28" xfId="1" applyFont="1" applyFill="1" applyBorder="1" applyAlignment="1">
      <alignment horizontal="right" vertical="center"/>
    </xf>
    <xf numFmtId="0" fontId="12" fillId="0" borderId="30" xfId="1" applyFont="1" applyFill="1" applyBorder="1" applyAlignment="1">
      <alignment horizontal="center"/>
    </xf>
    <xf numFmtId="0" fontId="12" fillId="0" borderId="4" xfId="1" applyFont="1" applyFill="1" applyBorder="1" applyAlignment="1">
      <alignment horizontal="center"/>
    </xf>
    <xf numFmtId="0" fontId="12" fillId="0" borderId="29" xfId="1" applyFont="1" applyFill="1" applyBorder="1" applyAlignment="1">
      <alignment horizontal="center"/>
    </xf>
    <xf numFmtId="0" fontId="12" fillId="0" borderId="28" xfId="1" applyFont="1" applyFill="1" applyBorder="1" applyAlignment="1">
      <alignment horizontal="center"/>
    </xf>
    <xf numFmtId="0" fontId="9" fillId="4" borderId="16" xfId="0" applyFont="1" applyFill="1" applyBorder="1" applyAlignment="1" applyProtection="1">
      <alignment horizontal="center" vertical="center"/>
      <protection locked="0"/>
    </xf>
    <xf numFmtId="0" fontId="9" fillId="4" borderId="13" xfId="0" applyFont="1" applyFill="1" applyBorder="1" applyAlignment="1" applyProtection="1">
      <alignment horizontal="center" vertical="center"/>
      <protection locked="0"/>
    </xf>
    <xf numFmtId="0" fontId="5" fillId="0" borderId="24" xfId="1" applyFont="1" applyFill="1" applyBorder="1" applyAlignment="1">
      <alignment horizontal="center" vertical="center" textRotation="2"/>
    </xf>
    <xf numFmtId="0" fontId="5" fillId="0" borderId="22" xfId="1" applyFont="1" applyFill="1" applyBorder="1" applyAlignment="1">
      <alignment horizontal="center" vertical="center" textRotation="2"/>
    </xf>
    <xf numFmtId="0" fontId="5" fillId="0" borderId="28" xfId="1" applyFont="1" applyFill="1" applyBorder="1" applyAlignment="1">
      <alignment horizontal="center" vertical="center"/>
    </xf>
    <xf numFmtId="0" fontId="12" fillId="0" borderId="30" xfId="1" applyFont="1" applyFill="1" applyBorder="1" applyAlignment="1">
      <alignment horizontal="center" vertical="center"/>
    </xf>
    <xf numFmtId="0" fontId="12" fillId="0" borderId="4" xfId="1" applyFont="1" applyFill="1" applyBorder="1" applyAlignment="1">
      <alignment horizontal="center" vertical="center"/>
    </xf>
    <xf numFmtId="0" fontId="12" fillId="0" borderId="29" xfId="1" applyFont="1" applyFill="1" applyBorder="1" applyAlignment="1">
      <alignment horizontal="center" vertical="center"/>
    </xf>
    <xf numFmtId="0" fontId="12" fillId="0" borderId="28" xfId="1" applyFont="1" applyFill="1" applyBorder="1" applyAlignment="1">
      <alignment horizontal="center" vertical="center"/>
    </xf>
    <xf numFmtId="0" fontId="12" fillId="0" borderId="16" xfId="1" applyFont="1" applyFill="1" applyBorder="1" applyAlignment="1">
      <alignment horizontal="right" vertical="center"/>
    </xf>
    <xf numFmtId="0" fontId="12" fillId="0" borderId="13" xfId="1" applyFont="1" applyFill="1" applyBorder="1" applyAlignment="1">
      <alignment horizontal="right" vertical="center"/>
    </xf>
    <xf numFmtId="0" fontId="4" fillId="0" borderId="35" xfId="1" applyFont="1" applyBorder="1" applyAlignment="1">
      <alignment horizontal="center"/>
    </xf>
    <xf numFmtId="0" fontId="5" fillId="0" borderId="24" xfId="1" applyFont="1" applyFill="1" applyBorder="1" applyAlignment="1">
      <alignment horizontal="center" vertical="center" wrapText="1"/>
    </xf>
    <xf numFmtId="0" fontId="5" fillId="0" borderId="22" xfId="1" applyFont="1" applyFill="1" applyBorder="1" applyAlignment="1">
      <alignment horizontal="center" vertical="center" wrapText="1"/>
    </xf>
    <xf numFmtId="0" fontId="4" fillId="0" borderId="0" xfId="1" applyFont="1" applyBorder="1" applyAlignment="1">
      <alignment horizontal="center"/>
    </xf>
    <xf numFmtId="0" fontId="5" fillId="6" borderId="30" xfId="1" applyFont="1" applyFill="1" applyBorder="1" applyAlignment="1">
      <alignment horizontal="center" vertical="center"/>
    </xf>
    <xf numFmtId="0" fontId="5" fillId="6" borderId="3" xfId="1" applyFont="1" applyFill="1" applyBorder="1" applyAlignment="1">
      <alignment horizontal="center" vertical="center"/>
    </xf>
    <xf numFmtId="0" fontId="5" fillId="6" borderId="4" xfId="1" applyFont="1" applyFill="1" applyBorder="1" applyAlignment="1">
      <alignment horizontal="center" vertical="center"/>
    </xf>
    <xf numFmtId="0" fontId="5" fillId="6" borderId="16" xfId="1" applyFont="1" applyFill="1" applyBorder="1" applyAlignment="1">
      <alignment horizontal="center" vertical="center"/>
    </xf>
    <xf numFmtId="0" fontId="5" fillId="6" borderId="0" xfId="1" applyFont="1" applyFill="1" applyBorder="1" applyAlignment="1">
      <alignment horizontal="center" vertical="center"/>
    </xf>
    <xf numFmtId="0" fontId="5" fillId="6" borderId="13" xfId="1" applyFont="1" applyFill="1" applyBorder="1" applyAlignment="1">
      <alignment horizontal="center" vertical="center"/>
    </xf>
    <xf numFmtId="0" fontId="5" fillId="0" borderId="16" xfId="1" applyFont="1" applyFill="1" applyBorder="1" applyAlignment="1">
      <alignment horizontal="center" vertical="center"/>
    </xf>
    <xf numFmtId="0" fontId="28" fillId="0" borderId="0" xfId="2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" fontId="36" fillId="0" borderId="67" xfId="4" applyNumberFormat="1" applyFont="1" applyBorder="1" applyAlignment="1">
      <alignment horizontal="center" vertical="center" wrapText="1"/>
    </xf>
    <xf numFmtId="1" fontId="36" fillId="0" borderId="69" xfId="4" applyNumberFormat="1" applyFont="1" applyBorder="1" applyAlignment="1">
      <alignment horizontal="center" vertical="center" wrapText="1"/>
    </xf>
    <xf numFmtId="1" fontId="36" fillId="0" borderId="70" xfId="4" applyNumberFormat="1" applyFont="1" applyBorder="1" applyAlignment="1">
      <alignment horizontal="center" vertical="center" wrapText="1"/>
    </xf>
    <xf numFmtId="0" fontId="33" fillId="11" borderId="44" xfId="5" applyFont="1" applyFill="1" applyBorder="1" applyAlignment="1">
      <alignment horizontal="center" vertical="center" readingOrder="1"/>
    </xf>
    <xf numFmtId="0" fontId="34" fillId="11" borderId="63" xfId="5" applyFont="1" applyFill="1" applyBorder="1" applyAlignment="1">
      <alignment horizontal="center" vertical="center" readingOrder="1"/>
    </xf>
    <xf numFmtId="0" fontId="31" fillId="0" borderId="61" xfId="4" applyFont="1" applyBorder="1" applyAlignment="1">
      <alignment horizontal="center" vertical="center"/>
    </xf>
    <xf numFmtId="0" fontId="32" fillId="0" borderId="62" xfId="5" applyFont="1" applyBorder="1" applyAlignment="1">
      <alignment horizontal="center" vertical="center"/>
    </xf>
    <xf numFmtId="0" fontId="32" fillId="0" borderId="45" xfId="5" applyFont="1" applyBorder="1" applyAlignment="1">
      <alignment horizontal="center" vertical="center"/>
    </xf>
    <xf numFmtId="0" fontId="30" fillId="7" borderId="38" xfId="4" applyFont="1" applyFill="1" applyBorder="1" applyAlignment="1">
      <alignment horizontal="center" vertical="center"/>
    </xf>
    <xf numFmtId="0" fontId="30" fillId="7" borderId="39" xfId="4" applyFont="1" applyFill="1" applyBorder="1" applyAlignment="1">
      <alignment horizontal="center" vertical="center"/>
    </xf>
    <xf numFmtId="0" fontId="30" fillId="7" borderId="40" xfId="4" applyFont="1" applyFill="1" applyBorder="1" applyAlignment="1">
      <alignment horizontal="center" vertical="center"/>
    </xf>
    <xf numFmtId="0" fontId="30" fillId="7" borderId="41" xfId="4" applyFont="1" applyFill="1" applyBorder="1" applyAlignment="1">
      <alignment horizontal="center" vertical="center"/>
    </xf>
    <xf numFmtId="0" fontId="31" fillId="0" borderId="44" xfId="4" applyFont="1" applyBorder="1">
      <alignment vertical="center"/>
    </xf>
    <xf numFmtId="0" fontId="31" fillId="0" borderId="45" xfId="4" applyFont="1" applyBorder="1">
      <alignment vertical="center"/>
    </xf>
    <xf numFmtId="0" fontId="31" fillId="0" borderId="43" xfId="4" applyFont="1" applyBorder="1" applyAlignment="1">
      <alignment horizontal="center" vertical="center"/>
    </xf>
    <xf numFmtId="0" fontId="31" fillId="0" borderId="51" xfId="4" applyFont="1" applyBorder="1" applyAlignment="1">
      <alignment horizontal="center" vertical="center"/>
    </xf>
    <xf numFmtId="0" fontId="31" fillId="0" borderId="52" xfId="4" applyFont="1" applyBorder="1" applyAlignment="1">
      <alignment horizontal="center" vertical="center"/>
    </xf>
    <xf numFmtId="0" fontId="31" fillId="10" borderId="54" xfId="4" applyFont="1" applyFill="1" applyBorder="1" applyAlignment="1">
      <alignment horizontal="center" vertical="center"/>
    </xf>
    <xf numFmtId="0" fontId="31" fillId="10" borderId="55" xfId="4" applyFont="1" applyFill="1" applyBorder="1" applyAlignment="1">
      <alignment horizontal="center" vertical="center"/>
    </xf>
    <xf numFmtId="0" fontId="31" fillId="10" borderId="56" xfId="4" applyFont="1" applyFill="1" applyBorder="1" applyAlignment="1">
      <alignment horizontal="center" vertical="center"/>
    </xf>
    <xf numFmtId="0" fontId="31" fillId="10" borderId="57" xfId="4" applyFont="1" applyFill="1" applyBorder="1">
      <alignment vertical="center"/>
    </xf>
    <xf numFmtId="0" fontId="31" fillId="10" borderId="55" xfId="4" applyFont="1" applyFill="1" applyBorder="1">
      <alignment vertical="center"/>
    </xf>
    <xf numFmtId="0" fontId="31" fillId="10" borderId="58" xfId="4" applyFont="1" applyFill="1" applyBorder="1">
      <alignment vertical="center"/>
    </xf>
    <xf numFmtId="0" fontId="31" fillId="0" borderId="24" xfId="4" applyFont="1" applyBorder="1" applyAlignment="1">
      <alignment horizontal="center" vertical="center"/>
    </xf>
    <xf numFmtId="0" fontId="31" fillId="0" borderId="27" xfId="4" applyFont="1" applyBorder="1" applyAlignment="1">
      <alignment horizontal="center" vertical="center"/>
    </xf>
    <xf numFmtId="0" fontId="31" fillId="0" borderId="22" xfId="4" applyFont="1" applyBorder="1" applyAlignment="1">
      <alignment horizontal="center" vertical="center"/>
    </xf>
    <xf numFmtId="0" fontId="4" fillId="11" borderId="61" xfId="4" applyFont="1" applyFill="1" applyBorder="1" applyAlignment="1">
      <alignment horizontal="center" vertical="center" readingOrder="1"/>
    </xf>
    <xf numFmtId="0" fontId="4" fillId="11" borderId="62" xfId="4" applyFont="1" applyFill="1" applyBorder="1" applyAlignment="1">
      <alignment horizontal="center" vertical="center" readingOrder="1"/>
    </xf>
    <xf numFmtId="0" fontId="4" fillId="11" borderId="45" xfId="4" applyFont="1" applyFill="1" applyBorder="1" applyAlignment="1">
      <alignment horizontal="center" vertical="center" readingOrder="1"/>
    </xf>
    <xf numFmtId="0" fontId="35" fillId="0" borderId="50" xfId="4" applyFont="1" applyBorder="1" applyAlignment="1">
      <alignment horizontal="center" vertical="center"/>
    </xf>
    <xf numFmtId="0" fontId="35" fillId="0" borderId="47" xfId="4" applyFont="1" applyBorder="1" applyAlignment="1">
      <alignment horizontal="center" vertical="center"/>
    </xf>
    <xf numFmtId="0" fontId="35" fillId="0" borderId="65" xfId="4" applyFont="1" applyBorder="1" applyAlignment="1">
      <alignment horizontal="center" vertical="center" wrapText="1"/>
    </xf>
    <xf numFmtId="0" fontId="35" fillId="0" borderId="68" xfId="4" applyFont="1" applyBorder="1" applyAlignment="1">
      <alignment horizontal="center" vertical="center" wrapText="1"/>
    </xf>
    <xf numFmtId="0" fontId="35" fillId="10" borderId="64" xfId="4" applyFont="1" applyFill="1" applyBorder="1" applyAlignment="1">
      <alignment horizontal="center" vertical="center" wrapText="1"/>
    </xf>
    <xf numFmtId="0" fontId="34" fillId="0" borderId="71" xfId="5" applyFont="1" applyBorder="1" applyAlignment="1">
      <alignment horizontal="center" vertical="center" wrapText="1"/>
    </xf>
    <xf numFmtId="0" fontId="31" fillId="0" borderId="67" xfId="4" applyFont="1" applyBorder="1" applyAlignment="1">
      <alignment horizontal="center" vertical="center" wrapText="1"/>
    </xf>
    <xf numFmtId="0" fontId="31" fillId="0" borderId="76" xfId="4" applyFont="1" applyBorder="1" applyAlignment="1">
      <alignment horizontal="center" vertical="center" wrapText="1"/>
    </xf>
    <xf numFmtId="0" fontId="31" fillId="0" borderId="77" xfId="4" applyFont="1" applyBorder="1" applyAlignment="1">
      <alignment horizontal="center" vertical="center" wrapText="1"/>
    </xf>
    <xf numFmtId="0" fontId="31" fillId="0" borderId="75" xfId="4" applyFont="1" applyBorder="1" applyAlignment="1">
      <alignment horizontal="center" vertical="center"/>
    </xf>
    <xf numFmtId="0" fontId="31" fillId="0" borderId="55" xfId="4" applyFont="1" applyBorder="1" applyAlignment="1">
      <alignment horizontal="center" vertical="center"/>
    </xf>
    <xf numFmtId="0" fontId="31" fillId="0" borderId="58" xfId="4" applyFont="1" applyBorder="1" applyAlignment="1">
      <alignment horizontal="center" vertical="center"/>
    </xf>
    <xf numFmtId="0" fontId="31" fillId="0" borderId="0" xfId="4" applyFont="1" applyAlignment="1">
      <alignment horizontal="center" vertical="center"/>
    </xf>
    <xf numFmtId="0" fontId="31" fillId="16" borderId="54" xfId="4" applyFont="1" applyFill="1" applyBorder="1" applyAlignment="1">
      <alignment horizontal="center" vertical="center"/>
    </xf>
    <xf numFmtId="0" fontId="31" fillId="16" borderId="55" xfId="4" applyFont="1" applyFill="1" applyBorder="1" applyAlignment="1">
      <alignment horizontal="center" vertical="center"/>
    </xf>
    <xf numFmtId="0" fontId="31" fillId="16" borderId="58" xfId="4" applyFont="1" applyFill="1" applyBorder="1" applyAlignment="1">
      <alignment horizontal="center" vertical="center"/>
    </xf>
    <xf numFmtId="0" fontId="35" fillId="18" borderId="80" xfId="4" applyFont="1" applyFill="1" applyBorder="1" applyAlignment="1">
      <alignment horizontal="center" vertical="center"/>
    </xf>
    <xf numFmtId="0" fontId="35" fillId="18" borderId="81" xfId="4" applyFont="1" applyFill="1" applyBorder="1" applyAlignment="1">
      <alignment horizontal="center" vertical="center"/>
    </xf>
    <xf numFmtId="2" fontId="35" fillId="13" borderId="82" xfId="5" applyNumberFormat="1" applyFont="1" applyFill="1" applyBorder="1" applyAlignment="1" applyProtection="1">
      <alignment horizontal="left" wrapText="1"/>
      <protection locked="0"/>
    </xf>
    <xf numFmtId="2" fontId="35" fillId="13" borderId="26" xfId="5" applyNumberFormat="1" applyFont="1" applyFill="1" applyBorder="1" applyAlignment="1" applyProtection="1">
      <alignment horizontal="left" wrapText="1"/>
      <protection locked="0"/>
    </xf>
    <xf numFmtId="2" fontId="35" fillId="13" borderId="84" xfId="5" applyNumberFormat="1" applyFont="1" applyFill="1" applyBorder="1" applyAlignment="1" applyProtection="1">
      <alignment horizontal="left" wrapText="1"/>
      <protection locked="0"/>
    </xf>
    <xf numFmtId="2" fontId="35" fillId="13" borderId="85" xfId="5" applyNumberFormat="1" applyFont="1" applyFill="1" applyBorder="1" applyAlignment="1" applyProtection="1">
      <alignment horizontal="left" wrapText="1"/>
      <protection locked="0"/>
    </xf>
    <xf numFmtId="0" fontId="31" fillId="16" borderId="87" xfId="4" applyFont="1" applyFill="1" applyBorder="1" applyAlignment="1">
      <alignment horizontal="center" vertical="center"/>
    </xf>
    <xf numFmtId="0" fontId="31" fillId="16" borderId="88" xfId="4" applyFont="1" applyFill="1" applyBorder="1" applyAlignment="1">
      <alignment horizontal="center" vertical="center"/>
    </xf>
    <xf numFmtId="0" fontId="31" fillId="16" borderId="89" xfId="4" applyFont="1" applyFill="1" applyBorder="1" applyAlignment="1">
      <alignment horizontal="center" vertical="center"/>
    </xf>
  </cellXfs>
  <cellStyles count="6">
    <cellStyle name="Normal" xfId="0" builtinId="0"/>
    <cellStyle name="Normal 2" xfId="1"/>
    <cellStyle name="Normal 3" xfId="2"/>
    <cellStyle name="Normal 3 2" xfId="5"/>
    <cellStyle name="Normal 4 2" xfId="4"/>
    <cellStyle name="Percent 2" xfId="3"/>
  </cellStyles>
  <dxfs count="1">
    <dxf>
      <font>
        <b val="0"/>
        <i val="0"/>
        <condense val="0"/>
        <extend val="0"/>
        <color auto="1"/>
      </font>
      <fill>
        <patternFill patternType="solid">
          <bgColor indexed="4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135872</xdr:colOff>
      <xdr:row>123</xdr:row>
      <xdr:rowOff>71718</xdr:rowOff>
    </xdr:from>
    <xdr:to>
      <xdr:col>1</xdr:col>
      <xdr:colOff>882463</xdr:colOff>
      <xdr:row>124</xdr:row>
      <xdr:rowOff>133070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pSpPr>
          <a:grpSpLocks/>
        </xdr:cNvGrpSpPr>
      </xdr:nvGrpSpPr>
      <xdr:grpSpPr bwMode="auto">
        <a:xfrm>
          <a:off x="3384398" y="19933850"/>
          <a:ext cx="746591" cy="211746"/>
          <a:chOff x="21087" y="97212"/>
          <a:chExt cx="2156" cy="824"/>
        </a:xfrm>
      </xdr:grpSpPr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xmlns="" id="{00000000-0008-0000-0100-0000030000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21087" y="97212"/>
            <a:ext cx="2156" cy="824"/>
          </a:xfrm>
          <a:prstGeom prst="rect">
            <a:avLst/>
          </a:prstGeom>
          <a:solidFill>
            <a:srgbClr val="FFFFFF"/>
          </a:solidFill>
          <a:ln w="38160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69" name="Group 33">
            <a:extLst>
              <a:ext uri="{FF2B5EF4-FFF2-40B4-BE49-F238E27FC236}">
                <a16:creationId xmlns:a16="http://schemas.microsoft.com/office/drawing/2014/main" xmlns="" id="{00000000-0008-0000-0100-000004000000}"/>
              </a:ext>
            </a:extLst>
          </xdr:cNvPr>
          <xdr:cNvGrpSpPr>
            <a:grpSpLocks/>
          </xdr:cNvGrpSpPr>
        </xdr:nvGrpSpPr>
        <xdr:grpSpPr bwMode="auto">
          <a:xfrm>
            <a:off x="21441" y="97361"/>
            <a:ext cx="1296" cy="533"/>
            <a:chOff x="21441" y="97361"/>
            <a:chExt cx="1296" cy="533"/>
          </a:xfrm>
        </xdr:grpSpPr>
        <xdr:sp macro="" textlink="">
          <xdr:nvSpPr>
            <xdr:cNvPr id="70" name="Line 4">
              <a:extLst>
                <a:ext uri="{FF2B5EF4-FFF2-40B4-BE49-F238E27FC236}">
                  <a16:creationId xmlns:a16="http://schemas.microsoft.com/office/drawing/2014/main" xmlns="" id="{00000000-0008-0000-0100-000005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441" y="97361"/>
              <a:ext cx="1296" cy="521"/>
            </a:xfrm>
            <a:prstGeom prst="line">
              <a:avLst/>
            </a:prstGeom>
            <a:noFill/>
            <a:ln w="38160">
              <a:solidFill>
                <a:srgbClr val="FF0000"/>
              </a:solidFill>
              <a:miter lim="800000"/>
              <a:headEnd/>
              <a:tailEnd/>
            </a:ln>
          </xdr:spPr>
        </xdr:sp>
        <xdr:sp macro="" textlink="">
          <xdr:nvSpPr>
            <xdr:cNvPr id="71" name="Line 5">
              <a:extLst>
                <a:ext uri="{FF2B5EF4-FFF2-40B4-BE49-F238E27FC236}">
                  <a16:creationId xmlns:a16="http://schemas.microsoft.com/office/drawing/2014/main" xmlns="" id="{00000000-0008-0000-0100-000006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441" y="97434"/>
              <a:ext cx="1296" cy="460"/>
            </a:xfrm>
            <a:prstGeom prst="line">
              <a:avLst/>
            </a:prstGeom>
            <a:noFill/>
            <a:ln w="38160">
              <a:solidFill>
                <a:srgbClr val="FF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</xdr:col>
      <xdr:colOff>147077</xdr:colOff>
      <xdr:row>125</xdr:row>
      <xdr:rowOff>261656</xdr:rowOff>
    </xdr:from>
    <xdr:to>
      <xdr:col>1</xdr:col>
      <xdr:colOff>889467</xdr:colOff>
      <xdr:row>126</xdr:row>
      <xdr:rowOff>168088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GrpSpPr>
          <a:grpSpLocks/>
        </xdr:cNvGrpSpPr>
      </xdr:nvGrpSpPr>
      <xdr:grpSpPr bwMode="auto">
        <a:xfrm>
          <a:off x="3395603" y="20474709"/>
          <a:ext cx="742390" cy="197195"/>
          <a:chOff x="38746" y="98259"/>
          <a:chExt cx="3836" cy="829"/>
        </a:xfrm>
      </xdr:grpSpPr>
      <xdr:sp macro="" textlink="">
        <xdr:nvSpPr>
          <xdr:cNvPr id="73" name="Rectangle 72">
            <a:extLst>
              <a:ext uri="{FF2B5EF4-FFF2-40B4-BE49-F238E27FC236}">
                <a16:creationId xmlns:a16="http://schemas.microsoft.com/office/drawing/2014/main" xmlns="" id="{00000000-0008-0000-0100-000008000000}"/>
              </a:ext>
            </a:extLst>
          </xdr:cNvPr>
          <xdr:cNvSpPr>
            <a:spLocks noChangeArrowheads="1"/>
          </xdr:cNvSpPr>
        </xdr:nvSpPr>
        <xdr:spPr bwMode="auto">
          <a:xfrm>
            <a:off x="38746" y="98259"/>
            <a:ext cx="3836" cy="829"/>
          </a:xfrm>
          <a:prstGeom prst="rect">
            <a:avLst/>
          </a:prstGeom>
          <a:solidFill>
            <a:srgbClr val="FFFFFF"/>
          </a:solidFill>
          <a:ln w="38160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74" name="Group 43">
            <a:extLst>
              <a:ext uri="{FF2B5EF4-FFF2-40B4-BE49-F238E27FC236}">
                <a16:creationId xmlns:a16="http://schemas.microsoft.com/office/drawing/2014/main" xmlns="" id="{00000000-0008-0000-0100-000009000000}"/>
              </a:ext>
            </a:extLst>
          </xdr:cNvPr>
          <xdr:cNvGrpSpPr>
            <a:grpSpLocks/>
          </xdr:cNvGrpSpPr>
        </xdr:nvGrpSpPr>
        <xdr:grpSpPr bwMode="auto">
          <a:xfrm>
            <a:off x="38985" y="98439"/>
            <a:ext cx="3401" cy="538"/>
            <a:chOff x="38985" y="98439"/>
            <a:chExt cx="3401" cy="538"/>
          </a:xfrm>
        </xdr:grpSpPr>
        <xdr:sp macro="" textlink="">
          <xdr:nvSpPr>
            <xdr:cNvPr id="75" name="Line 9">
              <a:extLst>
                <a:ext uri="{FF2B5EF4-FFF2-40B4-BE49-F238E27FC236}">
                  <a16:creationId xmlns:a16="http://schemas.microsoft.com/office/drawing/2014/main" xmlns="" id="{00000000-0008-0000-0100-00000A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8985" y="98761"/>
              <a:ext cx="977" cy="216"/>
            </a:xfrm>
            <a:prstGeom prst="line">
              <a:avLst/>
            </a:prstGeom>
            <a:noFill/>
            <a:ln w="38160">
              <a:solidFill>
                <a:srgbClr val="339966"/>
              </a:solidFill>
              <a:miter lim="800000"/>
              <a:headEnd/>
              <a:tailEnd/>
            </a:ln>
          </xdr:spPr>
        </xdr:sp>
        <xdr:sp macro="" textlink="">
          <xdr:nvSpPr>
            <xdr:cNvPr id="76" name="Line 10">
              <a:extLst>
                <a:ext uri="{FF2B5EF4-FFF2-40B4-BE49-F238E27FC236}">
                  <a16:creationId xmlns:a16="http://schemas.microsoft.com/office/drawing/2014/main" xmlns="" id="{00000000-0008-0000-0100-00000B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9923" y="98439"/>
              <a:ext cx="2463" cy="529"/>
            </a:xfrm>
            <a:prstGeom prst="line">
              <a:avLst/>
            </a:prstGeom>
            <a:noFill/>
            <a:ln w="38160">
              <a:solidFill>
                <a:srgbClr val="339966"/>
              </a:solidFill>
              <a:miter lim="800000"/>
              <a:headEnd/>
              <a:tailEnd/>
            </a:ln>
          </xdr:spPr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26</xdr:row>
      <xdr:rowOff>292575</xdr:rowOff>
    </xdr:from>
    <xdr:to>
      <xdr:col>4</xdr:col>
      <xdr:colOff>0</xdr:colOff>
      <xdr:row>28</xdr:row>
      <xdr:rowOff>0</xdr:rowOff>
    </xdr:to>
    <xdr:pic>
      <xdr:nvPicPr>
        <xdr:cNvPr id="2" name="Picture 3" descr="rId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6798150"/>
          <a:ext cx="1247775" cy="57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28574</xdr:colOff>
      <xdr:row>23</xdr:row>
      <xdr:rowOff>19050</xdr:rowOff>
    </xdr:from>
    <xdr:to>
      <xdr:col>4</xdr:col>
      <xdr:colOff>47625</xdr:colOff>
      <xdr:row>25</xdr:row>
      <xdr:rowOff>269876</xdr:rowOff>
    </xdr:to>
    <xdr:pic>
      <xdr:nvPicPr>
        <xdr:cNvPr id="3" name="Picture 4" descr="rId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4" y="5953125"/>
          <a:ext cx="1285876" cy="822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47625</xdr:colOff>
      <xdr:row>6</xdr:row>
      <xdr:rowOff>1</xdr:rowOff>
    </xdr:from>
    <xdr:to>
      <xdr:col>10</xdr:col>
      <xdr:colOff>603250</xdr:colOff>
      <xdr:row>10</xdr:row>
      <xdr:rowOff>0</xdr:rowOff>
    </xdr:to>
    <xdr:pic>
      <xdr:nvPicPr>
        <xdr:cNvPr id="4" name="Picture 6" descr="rId5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1925" y="1924051"/>
          <a:ext cx="1676400" cy="952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19051</xdr:colOff>
      <xdr:row>17</xdr:row>
      <xdr:rowOff>9525</xdr:rowOff>
    </xdr:from>
    <xdr:to>
      <xdr:col>10</xdr:col>
      <xdr:colOff>603250</xdr:colOff>
      <xdr:row>20</xdr:row>
      <xdr:rowOff>76200</xdr:rowOff>
    </xdr:to>
    <xdr:pic>
      <xdr:nvPicPr>
        <xdr:cNvPr id="5" name="Picture 7" descr="rId6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3351" y="4505325"/>
          <a:ext cx="1743074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552450</xdr:colOff>
      <xdr:row>12</xdr:row>
      <xdr:rowOff>171449</xdr:rowOff>
    </xdr:from>
    <xdr:to>
      <xdr:col>10</xdr:col>
      <xdr:colOff>265195</xdr:colOff>
      <xdr:row>14</xdr:row>
      <xdr:rowOff>285749</xdr:rowOff>
    </xdr:to>
    <xdr:pic>
      <xdr:nvPicPr>
        <xdr:cNvPr id="6" name="Picture 14" descr="IMG20210204114558_00.jpg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0" y="3057524"/>
          <a:ext cx="120182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38101</xdr:colOff>
      <xdr:row>30</xdr:row>
      <xdr:rowOff>41672</xdr:rowOff>
    </xdr:from>
    <xdr:to>
      <xdr:col>3</xdr:col>
      <xdr:colOff>593725</xdr:colOff>
      <xdr:row>31</xdr:row>
      <xdr:rowOff>200024</xdr:rowOff>
    </xdr:to>
    <xdr:pic>
      <xdr:nvPicPr>
        <xdr:cNvPr id="7" name="Picture 6" descr="WhatsApp Image 2024-09-21 at 6.44.05 PM (1).jpe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171701" y="7414022"/>
          <a:ext cx="1212849" cy="682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45"/>
  <sheetViews>
    <sheetView view="pageBreakPreview" zoomScale="95" zoomScaleSheetLayoutView="95" workbookViewId="0">
      <selection activeCell="B42" sqref="B42"/>
    </sheetView>
  </sheetViews>
  <sheetFormatPr defaultRowHeight="15"/>
  <cols>
    <col min="1" max="1" width="48.7109375" style="78" customWidth="1"/>
    <col min="2" max="2" width="14.5703125" style="79" customWidth="1"/>
    <col min="3" max="3" width="8.7109375" style="79" customWidth="1"/>
    <col min="4" max="4" width="6.140625" style="79" customWidth="1"/>
    <col min="5" max="5" width="8.7109375" style="79" customWidth="1"/>
    <col min="6" max="6" width="15.7109375" style="79" customWidth="1"/>
    <col min="7" max="7" width="53.28515625" style="79" customWidth="1"/>
    <col min="8" max="16384" width="9.140625" style="79"/>
  </cols>
  <sheetData>
    <row r="1" spans="1:7" s="1" customFormat="1" ht="29.25" customHeight="1" thickBot="1">
      <c r="A1" s="221" t="s">
        <v>0</v>
      </c>
      <c r="B1" s="222"/>
      <c r="C1" s="222"/>
      <c r="D1" s="223"/>
      <c r="E1" s="223"/>
      <c r="F1" s="222"/>
      <c r="G1" s="224"/>
    </row>
    <row r="2" spans="1:7" s="8" customFormat="1" ht="15.75" customHeight="1" thickBot="1">
      <c r="A2" s="2" t="s">
        <v>1</v>
      </c>
      <c r="B2" s="3" t="s">
        <v>37</v>
      </c>
      <c r="C2" s="4" t="s">
        <v>2</v>
      </c>
      <c r="D2" s="95">
        <v>10</v>
      </c>
      <c r="E2" s="5"/>
      <c r="F2" s="6" t="s">
        <v>3</v>
      </c>
      <c r="G2" s="7">
        <v>45</v>
      </c>
    </row>
    <row r="3" spans="1:7" s="8" customFormat="1" ht="15.75" customHeight="1" thickBot="1">
      <c r="A3" s="9" t="s">
        <v>4</v>
      </c>
      <c r="B3" s="3">
        <v>100230638</v>
      </c>
      <c r="C3" s="10"/>
      <c r="D3" s="10"/>
      <c r="E3" s="10"/>
      <c r="F3" s="11" t="s">
        <v>5</v>
      </c>
      <c r="G3" s="12">
        <v>27.3</v>
      </c>
    </row>
    <row r="4" spans="1:7" s="8" customFormat="1" ht="15.75" customHeight="1" thickBot="1">
      <c r="A4" s="13" t="s">
        <v>6</v>
      </c>
      <c r="B4" s="14" t="s">
        <v>27</v>
      </c>
      <c r="C4" s="15"/>
      <c r="D4" s="15"/>
      <c r="E4" s="15"/>
      <c r="F4" s="16" t="s">
        <v>7</v>
      </c>
      <c r="G4" s="17">
        <v>58</v>
      </c>
    </row>
    <row r="5" spans="1:7" s="8" customFormat="1" ht="15.75" customHeight="1" thickBot="1">
      <c r="A5" s="18" t="s">
        <v>8</v>
      </c>
      <c r="B5" s="19"/>
      <c r="C5" s="225" t="s">
        <v>9</v>
      </c>
      <c r="D5" s="226"/>
      <c r="E5" s="227"/>
      <c r="F5" s="20" t="s">
        <v>10</v>
      </c>
      <c r="G5" s="21">
        <f>+G2*60/G3*0.6</f>
        <v>59.340659340659343</v>
      </c>
    </row>
    <row r="6" spans="1:7" s="8" customFormat="1" ht="18.75" customHeight="1" thickBot="1">
      <c r="A6" s="22"/>
      <c r="B6" s="23"/>
      <c r="C6" s="228"/>
      <c r="D6" s="228"/>
      <c r="E6" s="228"/>
      <c r="F6" s="23"/>
      <c r="G6" s="24"/>
    </row>
    <row r="7" spans="1:7" s="8" customFormat="1" ht="26.25" customHeight="1" thickBot="1">
      <c r="A7" s="25" t="s">
        <v>11</v>
      </c>
      <c r="B7" s="26" t="s">
        <v>12</v>
      </c>
      <c r="C7" s="27" t="s">
        <v>13</v>
      </c>
      <c r="D7" s="28"/>
      <c r="E7" s="27" t="s">
        <v>13</v>
      </c>
      <c r="F7" s="26" t="s">
        <v>12</v>
      </c>
      <c r="G7" s="25" t="s">
        <v>11</v>
      </c>
    </row>
    <row r="8" spans="1:7" s="8" customFormat="1" ht="14.25" hidden="1" customHeight="1">
      <c r="A8" s="29"/>
      <c r="B8" s="30"/>
      <c r="C8" s="229"/>
      <c r="D8" s="28"/>
      <c r="E8" s="229"/>
      <c r="F8" s="31"/>
      <c r="G8" s="32"/>
    </row>
    <row r="9" spans="1:7" s="8" customFormat="1" ht="14.25" hidden="1" customHeight="1">
      <c r="A9" s="33"/>
      <c r="B9" s="34"/>
      <c r="C9" s="230"/>
      <c r="D9" s="28"/>
      <c r="E9" s="230"/>
      <c r="F9" s="35"/>
      <c r="G9" s="36"/>
    </row>
    <row r="10" spans="1:7" s="8" customFormat="1" ht="14.25" hidden="1" customHeight="1" thickBot="1">
      <c r="A10" s="89"/>
      <c r="B10" s="86"/>
      <c r="C10" s="37"/>
      <c r="D10" s="28"/>
      <c r="E10" s="37"/>
      <c r="F10" s="89"/>
      <c r="G10" s="86"/>
    </row>
    <row r="11" spans="1:7" s="8" customFormat="1" ht="22.5" hidden="1" customHeight="1" thickBot="1">
      <c r="A11" s="29"/>
      <c r="B11" s="30"/>
      <c r="C11" s="229"/>
      <c r="D11" s="90"/>
      <c r="E11" s="231"/>
      <c r="F11" s="31"/>
      <c r="G11" s="29"/>
    </row>
    <row r="12" spans="1:7" s="8" customFormat="1" ht="22.5" hidden="1" customHeight="1" thickBot="1">
      <c r="A12" s="89"/>
      <c r="B12" s="86"/>
      <c r="C12" s="230"/>
      <c r="D12" s="90"/>
      <c r="E12" s="232"/>
      <c r="F12" s="89"/>
      <c r="G12" s="86"/>
    </row>
    <row r="13" spans="1:7" s="8" customFormat="1" ht="14.25" hidden="1" customHeight="1" thickBot="1">
      <c r="A13" s="89"/>
      <c r="B13" s="86"/>
      <c r="C13" s="82"/>
      <c r="D13" s="90"/>
      <c r="E13" s="38"/>
      <c r="F13" s="89"/>
      <c r="G13" s="86"/>
    </row>
    <row r="14" spans="1:7" s="8" customFormat="1" ht="22.5" hidden="1" customHeight="1" thickBot="1">
      <c r="A14" s="29"/>
      <c r="B14" s="30"/>
      <c r="C14" s="229"/>
      <c r="D14" s="90"/>
      <c r="E14" s="231"/>
      <c r="F14" s="31"/>
      <c r="G14" s="29"/>
    </row>
    <row r="15" spans="1:7" s="8" customFormat="1" ht="22.5" hidden="1" customHeight="1" thickBot="1">
      <c r="A15" s="89"/>
      <c r="B15" s="86"/>
      <c r="C15" s="230"/>
      <c r="D15" s="90"/>
      <c r="E15" s="232"/>
      <c r="F15" s="89"/>
      <c r="G15" s="86"/>
    </row>
    <row r="16" spans="1:7" s="8" customFormat="1" ht="14.25" hidden="1" customHeight="1" thickBot="1">
      <c r="A16" s="89"/>
      <c r="B16" s="86"/>
      <c r="C16" s="82"/>
      <c r="D16" s="90"/>
      <c r="E16" s="38"/>
      <c r="F16" s="89"/>
      <c r="G16" s="86"/>
    </row>
    <row r="17" spans="1:7" s="8" customFormat="1" ht="22.5" hidden="1" customHeight="1" thickBot="1">
      <c r="A17" s="29"/>
      <c r="B17" s="30"/>
      <c r="C17" s="229"/>
      <c r="D17" s="90"/>
      <c r="E17" s="231"/>
      <c r="F17" s="31"/>
      <c r="G17" s="29"/>
    </row>
    <row r="18" spans="1:7" s="8" customFormat="1" ht="22.5" hidden="1" customHeight="1" thickBot="1">
      <c r="A18" s="89"/>
      <c r="B18" s="86"/>
      <c r="C18" s="230"/>
      <c r="D18" s="90"/>
      <c r="E18" s="232"/>
      <c r="F18" s="89"/>
      <c r="G18" s="86"/>
    </row>
    <row r="19" spans="1:7" s="8" customFormat="1" ht="14.25" hidden="1" customHeight="1" thickBot="1">
      <c r="A19" s="89"/>
      <c r="B19" s="86"/>
      <c r="C19" s="82"/>
      <c r="D19" s="90"/>
      <c r="E19" s="84"/>
      <c r="F19" s="89"/>
      <c r="G19" s="86"/>
    </row>
    <row r="20" spans="1:7" s="8" customFormat="1" ht="22.5" hidden="1" customHeight="1" thickBot="1">
      <c r="A20" s="81"/>
      <c r="B20" s="30"/>
      <c r="C20" s="231"/>
      <c r="D20" s="90"/>
      <c r="E20" s="231"/>
      <c r="F20" s="31"/>
      <c r="G20" s="29"/>
    </row>
    <row r="21" spans="1:7" s="8" customFormat="1" ht="22.5" hidden="1" customHeight="1" thickBot="1">
      <c r="A21" s="39"/>
      <c r="B21" s="40"/>
      <c r="C21" s="232"/>
      <c r="D21" s="90"/>
      <c r="E21" s="232"/>
      <c r="F21" s="89"/>
      <c r="G21" s="86"/>
    </row>
    <row r="22" spans="1:7" s="8" customFormat="1" ht="14.25" hidden="1" customHeight="1" thickBot="1">
      <c r="A22" s="89"/>
      <c r="B22" s="86"/>
      <c r="C22" s="85"/>
      <c r="D22" s="90"/>
      <c r="E22" s="84"/>
      <c r="F22" s="89"/>
      <c r="G22" s="86"/>
    </row>
    <row r="23" spans="1:7" s="8" customFormat="1" ht="22.5" hidden="1" customHeight="1" thickBot="1">
      <c r="A23" s="29"/>
      <c r="B23" s="30"/>
      <c r="C23" s="231"/>
      <c r="D23" s="90"/>
      <c r="E23" s="231"/>
      <c r="F23" s="31"/>
      <c r="G23" s="29"/>
    </row>
    <row r="24" spans="1:7" s="8" customFormat="1" ht="22.5" hidden="1" customHeight="1" thickBot="1">
      <c r="A24" s="89"/>
      <c r="B24" s="86"/>
      <c r="C24" s="232"/>
      <c r="D24" s="90"/>
      <c r="E24" s="232"/>
      <c r="F24" s="41"/>
      <c r="G24" s="42"/>
    </row>
    <row r="25" spans="1:7" s="8" customFormat="1" ht="14.25" hidden="1" customHeight="1" thickBot="1">
      <c r="A25" s="89"/>
      <c r="B25" s="86"/>
      <c r="C25" s="82"/>
      <c r="D25" s="90"/>
      <c r="E25" s="80"/>
      <c r="F25" s="89"/>
      <c r="G25" s="86"/>
    </row>
    <row r="26" spans="1:7" s="8" customFormat="1" ht="22.5" hidden="1" customHeight="1" thickBot="1">
      <c r="A26" s="29"/>
      <c r="B26" s="30"/>
      <c r="C26" s="231"/>
      <c r="D26" s="90"/>
      <c r="E26" s="231"/>
      <c r="F26" s="31"/>
      <c r="G26" s="29"/>
    </row>
    <row r="27" spans="1:7" s="8" customFormat="1" ht="22.5" hidden="1" customHeight="1" thickBot="1">
      <c r="A27" s="39"/>
      <c r="B27" s="40"/>
      <c r="C27" s="232"/>
      <c r="D27" s="90"/>
      <c r="E27" s="232"/>
      <c r="F27" s="89"/>
      <c r="G27" s="86"/>
    </row>
    <row r="28" spans="1:7" s="8" customFormat="1" ht="14.25" hidden="1" customHeight="1" thickBot="1">
      <c r="A28" s="89"/>
      <c r="B28" s="86"/>
      <c r="C28" s="85"/>
      <c r="D28" s="90"/>
      <c r="E28" s="80"/>
      <c r="F28" s="89"/>
      <c r="G28" s="86"/>
    </row>
    <row r="29" spans="1:7" s="8" customFormat="1" ht="22.5" hidden="1" customHeight="1" thickBot="1">
      <c r="A29" s="29"/>
      <c r="B29" s="30"/>
      <c r="C29" s="231"/>
      <c r="D29" s="90"/>
      <c r="E29" s="231"/>
      <c r="F29" s="31"/>
      <c r="G29" s="29"/>
    </row>
    <row r="30" spans="1:7" s="8" customFormat="1" ht="22.5" hidden="1" customHeight="1" thickBot="1">
      <c r="A30" s="89"/>
      <c r="B30" s="86"/>
      <c r="C30" s="232"/>
      <c r="D30" s="90"/>
      <c r="E30" s="232"/>
      <c r="F30" s="89"/>
      <c r="G30" s="86"/>
    </row>
    <row r="31" spans="1:7" s="8" customFormat="1" ht="15" customHeight="1" thickBot="1">
      <c r="A31" s="122"/>
      <c r="B31" s="123"/>
      <c r="C31" s="121"/>
      <c r="D31" s="262"/>
      <c r="E31" s="105"/>
      <c r="F31" s="122"/>
      <c r="G31" s="123"/>
    </row>
    <row r="32" spans="1:7" s="8" customFormat="1" ht="15" customHeight="1" thickBot="1">
      <c r="A32" s="29" t="s">
        <v>26</v>
      </c>
      <c r="B32" s="30">
        <v>58</v>
      </c>
      <c r="C32" s="229" t="s">
        <v>25</v>
      </c>
      <c r="D32" s="262"/>
      <c r="E32" s="243" t="s">
        <v>28</v>
      </c>
      <c r="F32" s="31">
        <v>57</v>
      </c>
      <c r="G32" s="29" t="s">
        <v>86</v>
      </c>
    </row>
    <row r="33" spans="1:7" s="8" customFormat="1" ht="15" customHeight="1" thickBot="1">
      <c r="A33" s="122"/>
      <c r="B33" s="123"/>
      <c r="C33" s="245"/>
      <c r="D33" s="262"/>
      <c r="E33" s="244"/>
      <c r="F33" s="122"/>
      <c r="G33" s="123"/>
    </row>
    <row r="34" spans="1:7" s="8" customFormat="1" ht="15" customHeight="1" thickBot="1">
      <c r="A34" s="122"/>
      <c r="B34" s="123"/>
      <c r="C34" s="121"/>
      <c r="D34" s="262"/>
      <c r="E34" s="120"/>
      <c r="F34" s="122"/>
      <c r="G34" s="123"/>
    </row>
    <row r="35" spans="1:7" s="8" customFormat="1" ht="15" customHeight="1" thickBot="1">
      <c r="A35" s="29" t="s">
        <v>85</v>
      </c>
      <c r="B35" s="30">
        <v>56</v>
      </c>
      <c r="C35" s="229" t="s">
        <v>28</v>
      </c>
      <c r="D35" s="262"/>
      <c r="E35" s="243" t="s">
        <v>28</v>
      </c>
      <c r="F35" s="31">
        <v>55</v>
      </c>
      <c r="G35" s="29" t="s">
        <v>85</v>
      </c>
    </row>
    <row r="36" spans="1:7" s="8" customFormat="1" ht="15" customHeight="1" thickBot="1">
      <c r="A36" s="122"/>
      <c r="B36" s="123"/>
      <c r="C36" s="230"/>
      <c r="D36" s="262"/>
      <c r="E36" s="244"/>
      <c r="F36" s="122"/>
      <c r="G36" s="123"/>
    </row>
    <row r="37" spans="1:7" s="8" customFormat="1" ht="15" customHeight="1" thickBot="1">
      <c r="A37" s="39"/>
      <c r="B37" s="43"/>
      <c r="C37" s="100"/>
      <c r="D37" s="262"/>
      <c r="E37" s="103"/>
      <c r="F37" s="98"/>
      <c r="G37" s="123"/>
    </row>
    <row r="38" spans="1:7" s="8" customFormat="1" ht="15" customHeight="1" thickBot="1">
      <c r="A38" s="29" t="s">
        <v>84</v>
      </c>
      <c r="B38" s="30">
        <v>54</v>
      </c>
      <c r="C38" s="229" t="s">
        <v>28</v>
      </c>
      <c r="D38" s="262"/>
      <c r="E38" s="243" t="s">
        <v>28</v>
      </c>
      <c r="F38" s="31">
        <v>53</v>
      </c>
      <c r="G38" s="29" t="s">
        <v>83</v>
      </c>
    </row>
    <row r="39" spans="1:7" s="8" customFormat="1" ht="15" customHeight="1" thickBot="1">
      <c r="A39" s="92"/>
      <c r="B39" s="91"/>
      <c r="C39" s="230"/>
      <c r="D39" s="262"/>
      <c r="E39" s="244"/>
      <c r="F39" s="92"/>
      <c r="G39" s="91"/>
    </row>
    <row r="40" spans="1:7" s="8" customFormat="1" ht="15" customHeight="1" thickBot="1">
      <c r="A40" s="92"/>
      <c r="B40" s="91"/>
      <c r="C40" s="96"/>
      <c r="D40" s="262"/>
      <c r="E40" s="104"/>
      <c r="F40" s="92"/>
      <c r="G40" s="91"/>
    </row>
    <row r="41" spans="1:7" s="8" customFormat="1" ht="15" customHeight="1" thickBot="1">
      <c r="A41" s="29" t="s">
        <v>82</v>
      </c>
      <c r="B41" s="30">
        <v>52</v>
      </c>
      <c r="C41" s="229" t="s">
        <v>28</v>
      </c>
      <c r="D41" s="262"/>
      <c r="E41" s="243" t="s">
        <v>21</v>
      </c>
      <c r="F41" s="31">
        <v>51</v>
      </c>
      <c r="G41" s="29" t="s">
        <v>81</v>
      </c>
    </row>
    <row r="42" spans="1:7" s="8" customFormat="1" ht="15" customHeight="1" thickBot="1">
      <c r="A42" s="92"/>
      <c r="B42" s="91"/>
      <c r="C42" s="230"/>
      <c r="D42" s="262"/>
      <c r="E42" s="244"/>
      <c r="F42" s="92"/>
      <c r="G42" s="91"/>
    </row>
    <row r="43" spans="1:7" s="8" customFormat="1" ht="15" customHeight="1" thickBot="1">
      <c r="A43" s="92"/>
      <c r="B43" s="91"/>
      <c r="C43" s="82"/>
      <c r="D43" s="262"/>
      <c r="E43" s="104"/>
      <c r="F43" s="92"/>
      <c r="G43" s="91"/>
    </row>
    <row r="44" spans="1:7" s="8" customFormat="1" ht="15" customHeight="1" thickBot="1">
      <c r="A44" s="29" t="s">
        <v>79</v>
      </c>
      <c r="B44" s="30">
        <v>49</v>
      </c>
      <c r="C44" s="229" t="s">
        <v>22</v>
      </c>
      <c r="D44" s="262"/>
      <c r="E44" s="243" t="s">
        <v>24</v>
      </c>
      <c r="F44" s="31">
        <v>50</v>
      </c>
      <c r="G44" s="29" t="s">
        <v>80</v>
      </c>
    </row>
    <row r="45" spans="1:7" s="8" customFormat="1" ht="15" customHeight="1" thickBot="1">
      <c r="A45" s="39"/>
      <c r="B45" s="40"/>
      <c r="C45" s="230"/>
      <c r="D45" s="262"/>
      <c r="E45" s="244"/>
      <c r="F45" s="41"/>
      <c r="G45" s="42"/>
    </row>
    <row r="46" spans="1:7" s="8" customFormat="1" ht="15" customHeight="1" thickBot="1">
      <c r="A46" s="92"/>
      <c r="B46" s="91"/>
      <c r="C46" s="96"/>
      <c r="D46" s="262"/>
      <c r="E46" s="105"/>
      <c r="F46" s="92"/>
      <c r="G46" s="91"/>
    </row>
    <row r="47" spans="1:7" s="8" customFormat="1" ht="15" customHeight="1" thickBot="1">
      <c r="A47" s="29" t="s">
        <v>78</v>
      </c>
      <c r="B47" s="30">
        <v>48</v>
      </c>
      <c r="C47" s="229" t="s">
        <v>28</v>
      </c>
      <c r="D47" s="262"/>
      <c r="E47" s="243" t="s">
        <v>28</v>
      </c>
      <c r="F47" s="31">
        <v>47</v>
      </c>
      <c r="G47" s="29" t="s">
        <v>78</v>
      </c>
    </row>
    <row r="48" spans="1:7" s="8" customFormat="1" ht="15" customHeight="1" thickBot="1">
      <c r="A48" s="92"/>
      <c r="B48" s="91"/>
      <c r="C48" s="245"/>
      <c r="D48" s="262"/>
      <c r="E48" s="244"/>
      <c r="F48" s="92"/>
      <c r="G48" s="91"/>
    </row>
    <row r="49" spans="1:7" s="8" customFormat="1" ht="15" customHeight="1" thickBot="1">
      <c r="A49" s="92"/>
      <c r="B49" s="91"/>
      <c r="C49" s="96"/>
      <c r="D49" s="262"/>
      <c r="E49" s="104"/>
      <c r="F49" s="92"/>
      <c r="G49" s="91"/>
    </row>
    <row r="50" spans="1:7" s="8" customFormat="1" ht="15" customHeight="1" thickBot="1">
      <c r="A50" s="29" t="s">
        <v>77</v>
      </c>
      <c r="B50" s="30">
        <v>46</v>
      </c>
      <c r="C50" s="229" t="s">
        <v>28</v>
      </c>
      <c r="D50" s="262"/>
      <c r="E50" s="243" t="s">
        <v>28</v>
      </c>
      <c r="F50" s="31">
        <v>45</v>
      </c>
      <c r="G50" s="29" t="s">
        <v>76</v>
      </c>
    </row>
    <row r="51" spans="1:7" s="8" customFormat="1" ht="15" customHeight="1" thickBot="1">
      <c r="A51" s="92"/>
      <c r="B51" s="91"/>
      <c r="C51" s="230"/>
      <c r="D51" s="262"/>
      <c r="E51" s="244"/>
      <c r="F51" s="92"/>
      <c r="G51" s="91"/>
    </row>
    <row r="52" spans="1:7" s="8" customFormat="1" ht="15" customHeight="1" thickBot="1">
      <c r="A52" s="92"/>
      <c r="B52" s="91"/>
      <c r="C52" s="100"/>
      <c r="D52" s="262"/>
      <c r="E52" s="106"/>
      <c r="F52" s="92"/>
      <c r="G52" s="91"/>
    </row>
    <row r="53" spans="1:7" s="8" customFormat="1" ht="15" customHeight="1" thickBot="1">
      <c r="A53" s="29" t="s">
        <v>75</v>
      </c>
      <c r="B53" s="30">
        <v>44</v>
      </c>
      <c r="C53" s="229" t="s">
        <v>21</v>
      </c>
      <c r="D53" s="262"/>
      <c r="E53" s="243" t="s">
        <v>28</v>
      </c>
      <c r="F53" s="31">
        <v>43</v>
      </c>
      <c r="G53" s="29" t="s">
        <v>74</v>
      </c>
    </row>
    <row r="54" spans="1:7" s="8" customFormat="1" ht="15" customHeight="1" thickBot="1">
      <c r="A54" s="92"/>
      <c r="B54" s="97"/>
      <c r="C54" s="230"/>
      <c r="D54" s="262"/>
      <c r="E54" s="244"/>
      <c r="F54" s="92"/>
      <c r="G54" s="91"/>
    </row>
    <row r="55" spans="1:7" s="8" customFormat="1" ht="15" customHeight="1" thickBot="1">
      <c r="A55" s="92"/>
      <c r="B55" s="97"/>
      <c r="C55" s="101"/>
      <c r="D55" s="262"/>
      <c r="E55" s="107"/>
      <c r="F55" s="92"/>
      <c r="G55" s="91"/>
    </row>
    <row r="56" spans="1:7" s="8" customFormat="1" ht="15" customHeight="1" thickBot="1">
      <c r="A56" s="29" t="s">
        <v>72</v>
      </c>
      <c r="B56" s="30">
        <v>41</v>
      </c>
      <c r="C56" s="229" t="s">
        <v>23</v>
      </c>
      <c r="D56" s="262"/>
      <c r="E56" s="243" t="s">
        <v>28</v>
      </c>
      <c r="F56" s="83">
        <v>42</v>
      </c>
      <c r="G56" s="81" t="s">
        <v>73</v>
      </c>
    </row>
    <row r="57" spans="1:7" s="8" customFormat="1" ht="15" customHeight="1" thickBot="1">
      <c r="A57" s="92"/>
      <c r="B57" s="97"/>
      <c r="C57" s="245"/>
      <c r="D57" s="262"/>
      <c r="E57" s="244"/>
      <c r="F57" s="241"/>
      <c r="G57" s="242"/>
    </row>
    <row r="58" spans="1:7" s="8" customFormat="1" ht="15" customHeight="1" thickBot="1">
      <c r="A58" s="92"/>
      <c r="B58" s="97"/>
      <c r="C58" s="101"/>
      <c r="D58" s="262"/>
      <c r="E58" s="107"/>
      <c r="F58" s="241"/>
      <c r="G58" s="242"/>
    </row>
    <row r="59" spans="1:7" s="8" customFormat="1" ht="15" customHeight="1" thickBot="1">
      <c r="A59" s="29" t="s">
        <v>70</v>
      </c>
      <c r="B59" s="30">
        <v>39</v>
      </c>
      <c r="C59" s="229" t="s">
        <v>28</v>
      </c>
      <c r="D59" s="262"/>
      <c r="E59" s="243" t="s">
        <v>25</v>
      </c>
      <c r="F59" s="31">
        <v>40</v>
      </c>
      <c r="G59" s="29" t="s">
        <v>71</v>
      </c>
    </row>
    <row r="60" spans="1:7" s="8" customFormat="1" ht="15" customHeight="1" thickBot="1">
      <c r="A60" s="89"/>
      <c r="B60" s="97"/>
      <c r="C60" s="230"/>
      <c r="D60" s="262"/>
      <c r="E60" s="244"/>
      <c r="F60" s="89"/>
      <c r="G60" s="86"/>
    </row>
    <row r="61" spans="1:7" s="8" customFormat="1" ht="15" customHeight="1" thickBot="1">
      <c r="A61" s="39"/>
      <c r="B61" s="97"/>
      <c r="C61" s="100"/>
      <c r="D61" s="262"/>
      <c r="E61" s="103"/>
      <c r="F61" s="89"/>
      <c r="G61" s="86"/>
    </row>
    <row r="62" spans="1:7" s="8" customFormat="1" ht="15" customHeight="1" thickBot="1">
      <c r="A62" s="29" t="s">
        <v>69</v>
      </c>
      <c r="B62" s="30">
        <v>38</v>
      </c>
      <c r="C62" s="243" t="s">
        <v>23</v>
      </c>
      <c r="D62" s="262"/>
      <c r="E62" s="243" t="s">
        <v>23</v>
      </c>
      <c r="F62" s="31">
        <v>37</v>
      </c>
      <c r="G62" s="29" t="s">
        <v>69</v>
      </c>
    </row>
    <row r="63" spans="1:7" s="8" customFormat="1" ht="15" customHeight="1" thickBot="1">
      <c r="A63" s="89"/>
      <c r="B63" s="97"/>
      <c r="C63" s="244"/>
      <c r="D63" s="262"/>
      <c r="E63" s="244"/>
      <c r="F63" s="89"/>
      <c r="G63" s="86"/>
    </row>
    <row r="64" spans="1:7" s="8" customFormat="1" ht="15" customHeight="1" thickBot="1">
      <c r="A64" s="89"/>
      <c r="B64" s="43"/>
      <c r="C64" s="96"/>
      <c r="D64" s="262"/>
      <c r="E64" s="104"/>
      <c r="F64" s="89"/>
      <c r="G64" s="86"/>
    </row>
    <row r="65" spans="1:7" s="8" customFormat="1" ht="15" customHeight="1" thickBot="1">
      <c r="A65" s="29" t="s">
        <v>67</v>
      </c>
      <c r="B65" s="30">
        <v>35</v>
      </c>
      <c r="C65" s="229" t="s">
        <v>21</v>
      </c>
      <c r="D65" s="262"/>
      <c r="E65" s="243" t="s">
        <v>28</v>
      </c>
      <c r="F65" s="31">
        <v>36</v>
      </c>
      <c r="G65" s="29" t="s">
        <v>68</v>
      </c>
    </row>
    <row r="66" spans="1:7" s="8" customFormat="1" ht="15" customHeight="1" thickBot="1">
      <c r="A66" s="89"/>
      <c r="B66" s="97"/>
      <c r="C66" s="230"/>
      <c r="D66" s="262"/>
      <c r="E66" s="244"/>
      <c r="F66" s="89"/>
      <c r="G66" s="86"/>
    </row>
    <row r="67" spans="1:7" s="8" customFormat="1" ht="15" customHeight="1" thickBot="1">
      <c r="A67" s="89"/>
      <c r="B67" s="97"/>
      <c r="C67" s="82"/>
      <c r="D67" s="262"/>
      <c r="E67" s="104"/>
      <c r="F67" s="89"/>
      <c r="G67" s="86"/>
    </row>
    <row r="68" spans="1:7" s="8" customFormat="1" ht="15" customHeight="1" thickBot="1">
      <c r="A68" s="29" t="s">
        <v>66</v>
      </c>
      <c r="B68" s="30">
        <v>34</v>
      </c>
      <c r="C68" s="229" t="s">
        <v>24</v>
      </c>
      <c r="D68" s="262"/>
      <c r="E68" s="243" t="s">
        <v>28</v>
      </c>
      <c r="F68" s="31">
        <v>33</v>
      </c>
      <c r="G68" s="29" t="s">
        <v>63</v>
      </c>
    </row>
    <row r="69" spans="1:7" s="8" customFormat="1" ht="15" customHeight="1" thickBot="1">
      <c r="A69" s="39"/>
      <c r="B69" s="97"/>
      <c r="C69" s="230"/>
      <c r="D69" s="262"/>
      <c r="E69" s="244"/>
      <c r="F69" s="41"/>
      <c r="G69" s="42"/>
    </row>
    <row r="70" spans="1:7" s="8" customFormat="1" ht="15" customHeight="1" thickBot="1">
      <c r="A70" s="89"/>
      <c r="B70" s="97"/>
      <c r="C70" s="96"/>
      <c r="D70" s="262"/>
      <c r="E70" s="105"/>
      <c r="F70" s="89"/>
      <c r="G70" s="86"/>
    </row>
    <row r="71" spans="1:7" s="8" customFormat="1" ht="15" customHeight="1" thickBot="1">
      <c r="A71" s="29" t="s">
        <v>65</v>
      </c>
      <c r="B71" s="30">
        <v>32</v>
      </c>
      <c r="C71" s="229" t="s">
        <v>28</v>
      </c>
      <c r="D71" s="262"/>
      <c r="E71" s="243" t="s">
        <v>28</v>
      </c>
      <c r="F71" s="31">
        <v>31</v>
      </c>
      <c r="G71" s="29" t="s">
        <v>64</v>
      </c>
    </row>
    <row r="72" spans="1:7" s="8" customFormat="1" ht="15" customHeight="1" thickBot="1">
      <c r="A72" s="89"/>
      <c r="B72" s="86"/>
      <c r="C72" s="245"/>
      <c r="D72" s="262"/>
      <c r="E72" s="244"/>
      <c r="F72" s="89"/>
      <c r="G72" s="86"/>
    </row>
    <row r="73" spans="1:7" s="8" customFormat="1" ht="15" customHeight="1" thickBot="1">
      <c r="A73" s="89"/>
      <c r="B73" s="86"/>
      <c r="C73" s="96"/>
      <c r="D73" s="262"/>
      <c r="E73" s="104"/>
      <c r="F73" s="89"/>
      <c r="G73" s="86"/>
    </row>
    <row r="74" spans="1:7" s="8" customFormat="1" ht="15" customHeight="1" thickBot="1">
      <c r="A74" s="29" t="s">
        <v>62</v>
      </c>
      <c r="B74" s="30">
        <v>30</v>
      </c>
      <c r="C74" s="229" t="s">
        <v>24</v>
      </c>
      <c r="D74" s="262"/>
      <c r="E74" s="243" t="s">
        <v>28</v>
      </c>
      <c r="F74" s="31">
        <v>29</v>
      </c>
      <c r="G74" s="29" t="s">
        <v>61</v>
      </c>
    </row>
    <row r="75" spans="1:7" s="8" customFormat="1" ht="15" customHeight="1" thickBot="1">
      <c r="A75" s="89"/>
      <c r="B75" s="86"/>
      <c r="C75" s="230"/>
      <c r="D75" s="262"/>
      <c r="E75" s="244"/>
      <c r="F75" s="89"/>
      <c r="G75" s="86"/>
    </row>
    <row r="76" spans="1:7" s="8" customFormat="1" ht="15" customHeight="1" thickBot="1">
      <c r="A76" s="89"/>
      <c r="B76" s="86"/>
      <c r="C76" s="100"/>
      <c r="D76" s="262"/>
      <c r="E76" s="106"/>
      <c r="F76" s="89"/>
      <c r="G76" s="86"/>
    </row>
    <row r="77" spans="1:7" s="8" customFormat="1" ht="15" customHeight="1" thickBot="1">
      <c r="A77" s="29" t="s">
        <v>59</v>
      </c>
      <c r="B77" s="30">
        <v>27</v>
      </c>
      <c r="C77" s="229" t="s">
        <v>22</v>
      </c>
      <c r="D77" s="262"/>
      <c r="E77" s="243" t="s">
        <v>22</v>
      </c>
      <c r="F77" s="31">
        <v>28</v>
      </c>
      <c r="G77" s="29" t="s">
        <v>60</v>
      </c>
    </row>
    <row r="78" spans="1:7" s="8" customFormat="1" ht="15" customHeight="1" thickBot="1">
      <c r="A78" s="89"/>
      <c r="B78" s="86"/>
      <c r="C78" s="230"/>
      <c r="D78" s="262"/>
      <c r="E78" s="244"/>
      <c r="F78" s="89"/>
      <c r="G78" s="86"/>
    </row>
    <row r="79" spans="1:7" s="8" customFormat="1" ht="15" customHeight="1" thickBot="1">
      <c r="A79" s="89"/>
      <c r="B79" s="86"/>
      <c r="C79" s="101"/>
      <c r="D79" s="262"/>
      <c r="E79" s="107"/>
      <c r="F79" s="89"/>
      <c r="G79" s="86"/>
    </row>
    <row r="80" spans="1:7" s="8" customFormat="1" ht="15" customHeight="1" thickBot="1">
      <c r="A80" s="29" t="s">
        <v>58</v>
      </c>
      <c r="B80" s="30">
        <v>26</v>
      </c>
      <c r="C80" s="229" t="s">
        <v>28</v>
      </c>
      <c r="D80" s="262"/>
      <c r="E80" s="243" t="s">
        <v>28</v>
      </c>
      <c r="F80" s="45">
        <v>25</v>
      </c>
      <c r="G80" s="29" t="s">
        <v>58</v>
      </c>
    </row>
    <row r="81" spans="1:19" s="8" customFormat="1" ht="15" customHeight="1" thickBot="1">
      <c r="A81" s="89"/>
      <c r="B81" s="87"/>
      <c r="C81" s="230"/>
      <c r="D81" s="262"/>
      <c r="E81" s="244"/>
      <c r="F81" s="46"/>
      <c r="G81" s="47"/>
    </row>
    <row r="82" spans="1:19" s="8" customFormat="1" ht="15" customHeight="1" thickBot="1">
      <c r="A82" s="89"/>
      <c r="B82" s="87"/>
      <c r="C82" s="102"/>
      <c r="D82" s="262"/>
      <c r="E82" s="108"/>
      <c r="F82" s="87"/>
      <c r="G82" s="44"/>
    </row>
    <row r="83" spans="1:19" s="8" customFormat="1" ht="15" customHeight="1" thickBot="1">
      <c r="A83" s="29" t="s">
        <v>57</v>
      </c>
      <c r="B83" s="30">
        <v>24</v>
      </c>
      <c r="C83" s="229" t="s">
        <v>28</v>
      </c>
      <c r="D83" s="262"/>
      <c r="E83" s="229" t="s">
        <v>28</v>
      </c>
      <c r="F83" s="45">
        <v>23</v>
      </c>
      <c r="G83" s="29" t="s">
        <v>57</v>
      </c>
    </row>
    <row r="84" spans="1:19" s="8" customFormat="1" ht="15" customHeight="1" thickBot="1">
      <c r="A84" s="89"/>
      <c r="B84" s="87"/>
      <c r="C84" s="230"/>
      <c r="D84" s="262"/>
      <c r="E84" s="230"/>
      <c r="F84" s="46"/>
      <c r="G84" s="47"/>
      <c r="M84" s="29"/>
    </row>
    <row r="85" spans="1:19" s="8" customFormat="1" ht="15" customHeight="1" thickBot="1">
      <c r="A85" s="48"/>
      <c r="B85" s="87"/>
      <c r="C85" s="82"/>
      <c r="D85" s="262"/>
      <c r="E85" s="103"/>
      <c r="F85" s="87"/>
      <c r="G85" s="44"/>
    </row>
    <row r="86" spans="1:19" s="49" customFormat="1" ht="15" customHeight="1" thickBot="1">
      <c r="A86" s="29" t="s">
        <v>56</v>
      </c>
      <c r="B86" s="30">
        <v>22</v>
      </c>
      <c r="C86" s="229" t="s">
        <v>28</v>
      </c>
      <c r="D86" s="262"/>
      <c r="E86" s="243" t="s">
        <v>28</v>
      </c>
      <c r="F86" s="45">
        <v>21</v>
      </c>
      <c r="G86" s="29" t="s">
        <v>56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spans="1:19" s="49" customFormat="1" ht="15" customHeight="1" thickBot="1">
      <c r="A87" s="50"/>
      <c r="B87" s="46"/>
      <c r="C87" s="230"/>
      <c r="D87" s="262"/>
      <c r="E87" s="244"/>
      <c r="F87" s="46"/>
      <c r="G87" s="47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spans="1:19" s="49" customFormat="1" ht="15" customHeight="1" thickBot="1">
      <c r="A88" s="51"/>
      <c r="B88" s="87"/>
      <c r="C88" s="82"/>
      <c r="D88" s="262"/>
      <c r="E88" s="107"/>
      <c r="F88" s="87"/>
      <c r="G88" s="44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  <row r="89" spans="1:19" s="49" customFormat="1" ht="15" customHeight="1" thickBot="1">
      <c r="A89" s="29" t="s">
        <v>54</v>
      </c>
      <c r="B89" s="30">
        <v>19</v>
      </c>
      <c r="C89" s="229" t="s">
        <v>28</v>
      </c>
      <c r="D89" s="262"/>
      <c r="E89" s="243" t="s">
        <v>28</v>
      </c>
      <c r="F89" s="52">
        <v>20</v>
      </c>
      <c r="G89" s="29" t="s">
        <v>55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spans="1:19" s="49" customFormat="1" ht="15" customHeight="1" thickBot="1">
      <c r="A90" s="89"/>
      <c r="B90" s="53"/>
      <c r="C90" s="230"/>
      <c r="D90" s="262"/>
      <c r="E90" s="244"/>
      <c r="F90" s="54"/>
      <c r="G90" s="42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</row>
    <row r="91" spans="1:19" s="49" customFormat="1" ht="15" customHeight="1" thickBot="1">
      <c r="A91" s="55"/>
      <c r="B91" s="46"/>
      <c r="C91" s="102"/>
      <c r="D91" s="262"/>
      <c r="E91" s="108"/>
      <c r="F91" s="56"/>
      <c r="G91" s="47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spans="1:19" s="49" customFormat="1" ht="15" customHeight="1" thickBot="1">
      <c r="A92" s="29" t="s">
        <v>51</v>
      </c>
      <c r="B92" s="57">
        <v>17</v>
      </c>
      <c r="C92" s="229" t="s">
        <v>28</v>
      </c>
      <c r="D92" s="262"/>
      <c r="E92" s="243" t="s">
        <v>28</v>
      </c>
      <c r="F92" s="57">
        <v>18</v>
      </c>
      <c r="G92" s="29" t="s">
        <v>53</v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</row>
    <row r="93" spans="1:19" s="49" customFormat="1" ht="15" customHeight="1" thickBot="1">
      <c r="A93" s="39"/>
      <c r="B93" s="54"/>
      <c r="C93" s="230"/>
      <c r="D93" s="262"/>
      <c r="E93" s="244"/>
      <c r="F93" s="46"/>
      <c r="G93" s="47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</row>
    <row r="94" spans="1:19" s="49" customFormat="1" ht="15" customHeight="1" thickBot="1">
      <c r="A94" s="55"/>
      <c r="B94" s="46"/>
      <c r="C94" s="102"/>
      <c r="D94" s="262"/>
      <c r="E94" s="109"/>
      <c r="F94" s="56"/>
      <c r="G94" s="47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</row>
    <row r="95" spans="1:19" s="49" customFormat="1" ht="15" customHeight="1" thickBot="1">
      <c r="A95" s="29" t="s">
        <v>52</v>
      </c>
      <c r="B95" s="57">
        <v>16</v>
      </c>
      <c r="C95" s="229" t="s">
        <v>32</v>
      </c>
      <c r="D95" s="262"/>
      <c r="E95" s="243" t="s">
        <v>28</v>
      </c>
      <c r="F95" s="57">
        <v>15</v>
      </c>
      <c r="G95" s="29" t="s">
        <v>51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 spans="1:19" s="49" customFormat="1" ht="15" customHeight="1" thickBot="1">
      <c r="A96" s="39"/>
      <c r="B96" s="54"/>
      <c r="C96" s="230"/>
      <c r="D96" s="262"/>
      <c r="E96" s="244"/>
      <c r="F96" s="46"/>
      <c r="G96" s="5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 spans="1:19" s="49" customFormat="1" ht="15" customHeight="1" thickBot="1">
      <c r="A97" s="55"/>
      <c r="B97" s="46"/>
      <c r="C97" s="102"/>
      <c r="D97" s="262"/>
      <c r="E97" s="107"/>
      <c r="F97" s="46"/>
      <c r="G97" s="5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 spans="1:19" s="49" customFormat="1" ht="15" customHeight="1" thickBot="1">
      <c r="A98" s="29" t="s">
        <v>49</v>
      </c>
      <c r="B98" s="57">
        <v>13</v>
      </c>
      <c r="C98" s="229" t="s">
        <v>21</v>
      </c>
      <c r="D98" s="262"/>
      <c r="E98" s="243" t="s">
        <v>24</v>
      </c>
      <c r="F98" s="52">
        <v>14</v>
      </c>
      <c r="G98" s="29" t="s">
        <v>50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 spans="1:19" s="49" customFormat="1" ht="15" customHeight="1" thickBot="1">
      <c r="A99" s="59"/>
      <c r="B99" s="46"/>
      <c r="C99" s="230"/>
      <c r="D99" s="262"/>
      <c r="E99" s="244"/>
      <c r="F99" s="246"/>
      <c r="G99" s="247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 spans="1:19" s="49" customFormat="1" ht="15" customHeight="1" thickBot="1">
      <c r="A100" s="51"/>
      <c r="B100" s="46"/>
      <c r="C100" s="102"/>
      <c r="D100" s="262"/>
      <c r="E100" s="109"/>
      <c r="F100" s="248"/>
      <c r="G100" s="249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 spans="1:19" s="49" customFormat="1" ht="15" customHeight="1" thickBot="1">
      <c r="A101" s="29" t="s">
        <v>47</v>
      </c>
      <c r="B101" s="57">
        <v>11</v>
      </c>
      <c r="C101" s="229" t="s">
        <v>21</v>
      </c>
      <c r="D101" s="262"/>
      <c r="E101" s="243" t="s">
        <v>28</v>
      </c>
      <c r="F101" s="52">
        <v>12</v>
      </c>
      <c r="G101" s="29" t="s">
        <v>48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 spans="1:19" s="49" customFormat="1" ht="15" customHeight="1" thickBot="1">
      <c r="A102" s="59"/>
      <c r="B102" s="46"/>
      <c r="C102" s="230"/>
      <c r="D102" s="262"/>
      <c r="E102" s="244"/>
      <c r="F102" s="246"/>
      <c r="G102" s="247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 spans="1:19" s="49" customFormat="1" ht="15" customHeight="1" thickBot="1">
      <c r="A103" s="51"/>
      <c r="B103" s="46"/>
      <c r="C103" s="82"/>
      <c r="D103" s="262"/>
      <c r="E103" s="103"/>
      <c r="F103" s="248"/>
      <c r="G103" s="249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 spans="1:19" s="49" customFormat="1" ht="15" customHeight="1" thickBot="1">
      <c r="A104" s="29" t="s">
        <v>46</v>
      </c>
      <c r="B104" s="60">
        <v>10</v>
      </c>
      <c r="C104" s="229" t="s">
        <v>28</v>
      </c>
      <c r="D104" s="262"/>
      <c r="E104" s="243" t="s">
        <v>22</v>
      </c>
      <c r="F104" s="52">
        <v>9</v>
      </c>
      <c r="G104" s="29" t="s">
        <v>45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</row>
    <row r="105" spans="1:19" s="49" customFormat="1" ht="15" customHeight="1" thickBot="1">
      <c r="A105" s="233"/>
      <c r="B105" s="234"/>
      <c r="C105" s="230"/>
      <c r="D105" s="262"/>
      <c r="E105" s="244"/>
      <c r="F105" s="237"/>
      <c r="G105" s="23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</row>
    <row r="106" spans="1:19" s="49" customFormat="1" ht="15" customHeight="1" thickBot="1">
      <c r="A106" s="250"/>
      <c r="B106" s="251"/>
      <c r="C106" s="61"/>
      <c r="D106" s="262"/>
      <c r="E106" s="93"/>
      <c r="F106" s="239"/>
      <c r="G106" s="24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 spans="1:19" s="49" customFormat="1" ht="15" customHeight="1" thickBot="1">
      <c r="A107" s="29" t="s">
        <v>44</v>
      </c>
      <c r="B107" s="60">
        <v>8</v>
      </c>
      <c r="C107" s="229" t="s">
        <v>22</v>
      </c>
      <c r="D107" s="262"/>
      <c r="E107" s="229" t="s">
        <v>28</v>
      </c>
      <c r="F107" s="52">
        <v>7</v>
      </c>
      <c r="G107" s="29" t="s">
        <v>29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 spans="1:19" s="49" customFormat="1" ht="15" customHeight="1" thickBot="1">
      <c r="A108" s="233"/>
      <c r="B108" s="234"/>
      <c r="C108" s="230"/>
      <c r="D108" s="262"/>
      <c r="E108" s="230"/>
      <c r="F108" s="237"/>
      <c r="G108" s="23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 spans="1:19" s="49" customFormat="1" ht="15" customHeight="1" thickBot="1">
      <c r="A109" s="250"/>
      <c r="B109" s="251"/>
      <c r="C109" s="61"/>
      <c r="D109" s="262"/>
      <c r="E109" s="93"/>
      <c r="F109" s="239"/>
      <c r="G109" s="24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 spans="1:19" s="49" customFormat="1" ht="15" customHeight="1" thickBot="1">
      <c r="A110" s="29" t="s">
        <v>43</v>
      </c>
      <c r="B110" s="60">
        <v>6</v>
      </c>
      <c r="C110" s="229" t="s">
        <v>28</v>
      </c>
      <c r="D110" s="262"/>
      <c r="E110" s="229" t="s">
        <v>28</v>
      </c>
      <c r="F110" s="52">
        <v>5</v>
      </c>
      <c r="G110" s="29" t="s">
        <v>42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 spans="1:19" s="49" customFormat="1" ht="15" customHeight="1" thickBot="1">
      <c r="A111" s="233"/>
      <c r="B111" s="234"/>
      <c r="C111" s="230"/>
      <c r="D111" s="262"/>
      <c r="E111" s="230"/>
      <c r="F111" s="237"/>
      <c r="G111" s="23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 spans="1:19" s="49" customFormat="1" ht="15" customHeight="1" thickBot="1">
      <c r="A112" s="235"/>
      <c r="B112" s="236"/>
      <c r="C112" s="61"/>
      <c r="D112" s="262"/>
      <c r="E112" s="93"/>
      <c r="F112" s="239"/>
      <c r="G112" s="24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 spans="1:19" s="49" customFormat="1" ht="15" customHeight="1" thickBot="1">
      <c r="A113" s="29" t="s">
        <v>41</v>
      </c>
      <c r="B113" s="60">
        <v>4</v>
      </c>
      <c r="C113" s="229" t="s">
        <v>32</v>
      </c>
      <c r="D113" s="262"/>
      <c r="E113" s="229" t="s">
        <v>32</v>
      </c>
      <c r="F113" s="52">
        <v>3</v>
      </c>
      <c r="G113" s="29" t="s">
        <v>40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 spans="1:19" s="49" customFormat="1" ht="15" customHeight="1" thickBot="1">
      <c r="A114" s="233"/>
      <c r="B114" s="234"/>
      <c r="C114" s="230"/>
      <c r="D114" s="262"/>
      <c r="E114" s="230"/>
      <c r="F114" s="237"/>
      <c r="G114" s="23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 spans="1:19" s="49" customFormat="1" ht="15" customHeight="1" thickBot="1">
      <c r="A115" s="235"/>
      <c r="B115" s="236"/>
      <c r="C115" s="61"/>
      <c r="D115" s="262"/>
      <c r="E115" s="94"/>
      <c r="F115" s="239"/>
      <c r="G115" s="24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 spans="1:19" s="49" customFormat="1" ht="33.75" customHeight="1" thickBot="1">
      <c r="A116" s="29" t="s">
        <v>39</v>
      </c>
      <c r="B116" s="60">
        <v>2</v>
      </c>
      <c r="C116" s="253" t="s">
        <v>33</v>
      </c>
      <c r="D116" s="262"/>
      <c r="E116" s="229" t="s">
        <v>28</v>
      </c>
      <c r="F116" s="52">
        <v>1</v>
      </c>
      <c r="G116" s="124" t="s">
        <v>38</v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 spans="1:19" s="49" customFormat="1" ht="15" customHeight="1" thickBot="1">
      <c r="A117" s="233"/>
      <c r="B117" s="234"/>
      <c r="C117" s="254"/>
      <c r="D117" s="262"/>
      <c r="E117" s="230"/>
      <c r="F117" s="237"/>
      <c r="G117" s="23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 spans="1:19" s="49" customFormat="1" ht="15" customHeight="1" thickBot="1">
      <c r="A118" s="235"/>
      <c r="B118" s="236"/>
      <c r="C118" s="61"/>
      <c r="D118" s="62"/>
      <c r="E118" s="61"/>
      <c r="F118" s="239"/>
      <c r="G118" s="24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 spans="1:19" s="49" customFormat="1" ht="15" customHeight="1" thickBot="1">
      <c r="A119" s="63"/>
      <c r="B119" s="64"/>
      <c r="C119" s="256" t="s">
        <v>14</v>
      </c>
      <c r="D119" s="257"/>
      <c r="E119" s="258"/>
      <c r="F119" s="52"/>
      <c r="G119" s="65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 spans="1:19" s="49" customFormat="1" ht="15" customHeight="1" thickBot="1">
      <c r="A120" s="66"/>
      <c r="B120" s="113"/>
      <c r="C120" s="259"/>
      <c r="D120" s="260"/>
      <c r="E120" s="261"/>
      <c r="F120" s="113"/>
      <c r="G120" s="115" t="s">
        <v>15</v>
      </c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 spans="1:19" s="49" customFormat="1" ht="19.5" customHeight="1">
      <c r="A121" s="67"/>
      <c r="B121" s="68"/>
      <c r="C121" s="220"/>
      <c r="D121" s="68"/>
      <c r="E121" s="68"/>
      <c r="F121" s="116" t="s">
        <v>28</v>
      </c>
      <c r="G121" s="117">
        <f>COUNTIF(C31:E117,F121)</f>
        <v>35</v>
      </c>
      <c r="H121" s="114"/>
      <c r="I121" s="114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 spans="1:19" s="49" customFormat="1" ht="18.75" customHeight="1">
      <c r="A122" s="18"/>
      <c r="B122" s="10"/>
      <c r="C122" s="220"/>
      <c r="D122" s="68"/>
      <c r="E122" s="112"/>
      <c r="F122" s="118" t="s">
        <v>23</v>
      </c>
      <c r="G122" s="117">
        <f t="shared" ref="G122:G129" si="0">COUNTIF(C38:E118,F122)</f>
        <v>3</v>
      </c>
      <c r="H122" s="114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 spans="1:19" s="49" customFormat="1" ht="18.75" customHeight="1">
      <c r="A123" s="18"/>
      <c r="B123" s="10"/>
      <c r="C123" s="10"/>
      <c r="D123" s="70"/>
      <c r="E123" s="98"/>
      <c r="F123" s="118" t="s">
        <v>21</v>
      </c>
      <c r="G123" s="117">
        <f t="shared" si="0"/>
        <v>5</v>
      </c>
      <c r="H123" s="114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 spans="1:19" s="49" customFormat="1" ht="12" customHeight="1">
      <c r="A124" s="69"/>
      <c r="B124" s="10"/>
      <c r="C124" s="10"/>
      <c r="D124" s="110"/>
      <c r="E124" s="70"/>
      <c r="F124" s="118" t="s">
        <v>24</v>
      </c>
      <c r="G124" s="117">
        <f t="shared" si="0"/>
        <v>4</v>
      </c>
      <c r="H124" s="114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 spans="1:19" s="49" customFormat="1" ht="15.75" customHeight="1">
      <c r="A125" s="70" t="s">
        <v>20</v>
      </c>
      <c r="B125" s="10"/>
      <c r="C125" s="10"/>
      <c r="D125" s="70"/>
      <c r="E125" s="10"/>
      <c r="F125" s="118" t="s">
        <v>22</v>
      </c>
      <c r="G125" s="117">
        <f t="shared" si="0"/>
        <v>5</v>
      </c>
      <c r="H125" s="114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 spans="1:19" s="49" customFormat="1" ht="23.25">
      <c r="A126" s="110"/>
      <c r="B126" s="111"/>
      <c r="C126" s="70"/>
      <c r="D126" s="98"/>
      <c r="E126" s="98"/>
      <c r="F126" s="118" t="s">
        <v>32</v>
      </c>
      <c r="G126" s="117">
        <f t="shared" si="0"/>
        <v>3</v>
      </c>
      <c r="H126" s="114"/>
      <c r="I126" s="8"/>
      <c r="J126" s="8"/>
      <c r="K126" s="8"/>
      <c r="L126" s="8"/>
      <c r="P126" s="8"/>
      <c r="Q126" s="8"/>
      <c r="R126" s="8"/>
      <c r="S126" s="8"/>
    </row>
    <row r="127" spans="1:19" s="49" customFormat="1" ht="15.75" customHeight="1">
      <c r="A127" s="70" t="s">
        <v>16</v>
      </c>
      <c r="B127" s="111"/>
      <c r="C127" s="110"/>
      <c r="D127" s="70"/>
      <c r="E127" s="70"/>
      <c r="F127" s="118" t="s">
        <v>33</v>
      </c>
      <c r="G127" s="117">
        <f t="shared" si="0"/>
        <v>1</v>
      </c>
      <c r="H127" s="114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 spans="1:19" s="49" customFormat="1" ht="14.25" customHeight="1">
      <c r="A128" s="70"/>
      <c r="B128" s="111"/>
      <c r="C128" s="70"/>
      <c r="D128" s="10"/>
      <c r="E128" s="10"/>
      <c r="F128" s="118" t="s">
        <v>34</v>
      </c>
      <c r="G128" s="117">
        <f t="shared" si="0"/>
        <v>0</v>
      </c>
      <c r="H128" s="114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 spans="1:8" s="8" customFormat="1" ht="12" customHeight="1">
      <c r="A129" s="18"/>
      <c r="B129" s="111"/>
      <c r="C129" s="10"/>
      <c r="D129" s="99"/>
      <c r="E129" s="70"/>
      <c r="F129" s="118" t="s">
        <v>35</v>
      </c>
      <c r="G129" s="117">
        <f t="shared" si="0"/>
        <v>0</v>
      </c>
      <c r="H129" s="114"/>
    </row>
    <row r="130" spans="1:8" s="8" customFormat="1" ht="15.75" customHeight="1">
      <c r="A130" s="69"/>
      <c r="B130" s="10"/>
      <c r="C130" s="10"/>
      <c r="D130" s="10"/>
      <c r="E130" s="10"/>
      <c r="F130" s="118" t="s">
        <v>25</v>
      </c>
      <c r="G130" s="117">
        <v>2</v>
      </c>
      <c r="H130" s="114"/>
    </row>
    <row r="131" spans="1:8" s="8" customFormat="1" ht="15.75" customHeight="1">
      <c r="A131" s="71"/>
      <c r="B131" s="70"/>
      <c r="C131" s="70"/>
      <c r="D131" s="70"/>
      <c r="E131" s="70"/>
      <c r="F131" s="116" t="s">
        <v>31</v>
      </c>
      <c r="G131" s="119">
        <f>SUM(G121:G130)</f>
        <v>58</v>
      </c>
    </row>
    <row r="132" spans="1:8" s="8" customFormat="1" ht="14.25" customHeight="1">
      <c r="A132" s="72" t="s">
        <v>36</v>
      </c>
      <c r="B132" s="88"/>
      <c r="C132" s="255"/>
      <c r="D132" s="255"/>
      <c r="E132" s="255"/>
      <c r="F132" s="70"/>
      <c r="G132" s="73" t="s">
        <v>18</v>
      </c>
    </row>
    <row r="133" spans="1:8" s="8" customFormat="1" ht="17.25" customHeight="1" thickBot="1">
      <c r="A133" s="74" t="s">
        <v>19</v>
      </c>
      <c r="B133" s="75"/>
      <c r="C133" s="252"/>
      <c r="D133" s="252"/>
      <c r="E133" s="252"/>
      <c r="F133" s="76"/>
      <c r="G133" s="77" t="s">
        <v>17</v>
      </c>
    </row>
    <row r="134" spans="1:8" s="8" customFormat="1" ht="17.25" customHeight="1">
      <c r="A134" s="78"/>
      <c r="B134" s="79"/>
      <c r="C134" s="79"/>
      <c r="D134" s="79"/>
      <c r="E134" s="79"/>
      <c r="F134" s="79"/>
      <c r="G134" s="79"/>
    </row>
    <row r="135" spans="1:8" s="8" customFormat="1" ht="17.25" customHeight="1">
      <c r="A135" s="78"/>
      <c r="B135" s="79"/>
      <c r="C135" s="79"/>
      <c r="D135" s="79"/>
      <c r="E135" s="79"/>
      <c r="F135" s="79"/>
      <c r="G135" s="79"/>
    </row>
    <row r="136" spans="1:8" s="8" customFormat="1" ht="17.25" customHeight="1">
      <c r="A136" s="78"/>
      <c r="B136" s="79"/>
      <c r="C136" s="79"/>
      <c r="D136" s="79"/>
      <c r="E136" s="79"/>
      <c r="F136" s="79"/>
      <c r="G136" s="79"/>
    </row>
    <row r="137" spans="1:8" s="8" customFormat="1" ht="17.25" customHeight="1">
      <c r="A137" s="78"/>
      <c r="B137" s="79"/>
      <c r="C137" s="79"/>
      <c r="D137" s="79"/>
      <c r="E137" s="79"/>
      <c r="F137" s="79"/>
      <c r="G137" s="79"/>
    </row>
    <row r="138" spans="1:8" s="8" customFormat="1" ht="17.25" customHeight="1">
      <c r="A138" s="78"/>
      <c r="B138" s="79"/>
      <c r="C138" s="79"/>
      <c r="D138" s="79"/>
      <c r="E138" s="79"/>
      <c r="F138" s="79"/>
      <c r="G138" s="79"/>
    </row>
    <row r="139" spans="1:8" s="8" customFormat="1" ht="17.25" customHeight="1">
      <c r="A139" s="78"/>
      <c r="B139" s="79"/>
      <c r="C139" s="79"/>
      <c r="D139" s="79"/>
      <c r="E139" s="79"/>
      <c r="F139" s="79"/>
      <c r="G139" s="79"/>
    </row>
    <row r="140" spans="1:8" s="8" customFormat="1" ht="17.25" customHeight="1">
      <c r="A140" s="78"/>
      <c r="B140" s="79"/>
      <c r="C140" s="79"/>
      <c r="D140" s="79"/>
      <c r="E140" s="79"/>
      <c r="F140" s="79"/>
      <c r="G140" s="79"/>
    </row>
    <row r="141" spans="1:8" s="8" customFormat="1" ht="18.75" customHeight="1">
      <c r="A141" s="78"/>
      <c r="B141" s="79"/>
      <c r="C141" s="79"/>
      <c r="D141" s="79"/>
      <c r="E141" s="79"/>
      <c r="F141" s="79"/>
      <c r="G141" s="79"/>
    </row>
    <row r="142" spans="1:8" s="8" customFormat="1" ht="14.25" customHeight="1">
      <c r="A142" s="78"/>
      <c r="B142" s="79"/>
      <c r="C142" s="79"/>
      <c r="D142" s="79"/>
      <c r="E142" s="79"/>
      <c r="F142" s="79"/>
      <c r="G142" s="79"/>
    </row>
    <row r="143" spans="1:8" s="8" customFormat="1" ht="32.25" customHeight="1">
      <c r="A143" s="78"/>
      <c r="B143" s="79"/>
      <c r="C143" s="79"/>
      <c r="D143" s="79"/>
      <c r="E143" s="79"/>
      <c r="F143" s="79"/>
      <c r="G143" s="79"/>
    </row>
    <row r="144" spans="1:8" s="8" customFormat="1" ht="17.25" customHeight="1">
      <c r="A144" s="78"/>
      <c r="B144" s="79"/>
      <c r="C144" s="79"/>
      <c r="D144" s="79"/>
      <c r="E144" s="79"/>
      <c r="F144" s="79"/>
      <c r="G144" s="79"/>
    </row>
    <row r="145" spans="1:7" s="8" customFormat="1" ht="17.25" customHeight="1">
      <c r="A145" s="78"/>
      <c r="B145" s="79"/>
      <c r="C145" s="79"/>
      <c r="D145" s="79"/>
      <c r="E145" s="79"/>
      <c r="F145" s="79"/>
      <c r="G145" s="79"/>
    </row>
  </sheetData>
  <mergeCells count="95">
    <mergeCell ref="C32:C33"/>
    <mergeCell ref="E32:E33"/>
    <mergeCell ref="C35:C36"/>
    <mergeCell ref="E35:E36"/>
    <mergeCell ref="E68:E69"/>
    <mergeCell ref="C71:C72"/>
    <mergeCell ref="E71:E72"/>
    <mergeCell ref="E50:E51"/>
    <mergeCell ref="C53:C54"/>
    <mergeCell ref="C56:C57"/>
    <mergeCell ref="A111:B112"/>
    <mergeCell ref="F111:G112"/>
    <mergeCell ref="D31:D117"/>
    <mergeCell ref="C38:C39"/>
    <mergeCell ref="E38:E39"/>
    <mergeCell ref="C80:C81"/>
    <mergeCell ref="E80:E81"/>
    <mergeCell ref="C74:C75"/>
    <mergeCell ref="C41:C42"/>
    <mergeCell ref="E41:E42"/>
    <mergeCell ref="C83:C84"/>
    <mergeCell ref="E83:E84"/>
    <mergeCell ref="E56:E57"/>
    <mergeCell ref="C59:C60"/>
    <mergeCell ref="E59:E60"/>
    <mergeCell ref="C104:C105"/>
    <mergeCell ref="C113:C114"/>
    <mergeCell ref="E113:E114"/>
    <mergeCell ref="F114:G115"/>
    <mergeCell ref="C110:C111"/>
    <mergeCell ref="E110:E111"/>
    <mergeCell ref="A114:B115"/>
    <mergeCell ref="C133:E133"/>
    <mergeCell ref="C116:C117"/>
    <mergeCell ref="E116:E117"/>
    <mergeCell ref="C86:C87"/>
    <mergeCell ref="C95:C96"/>
    <mergeCell ref="E95:E96"/>
    <mergeCell ref="C98:C99"/>
    <mergeCell ref="E98:E99"/>
    <mergeCell ref="C132:E132"/>
    <mergeCell ref="C119:E120"/>
    <mergeCell ref="E86:E87"/>
    <mergeCell ref="C89:C90"/>
    <mergeCell ref="E89:E90"/>
    <mergeCell ref="C101:C102"/>
    <mergeCell ref="E101:E102"/>
    <mergeCell ref="C107:C108"/>
    <mergeCell ref="E107:E108"/>
    <mergeCell ref="A108:B109"/>
    <mergeCell ref="F108:G109"/>
    <mergeCell ref="F105:G106"/>
    <mergeCell ref="A105:B106"/>
    <mergeCell ref="F99:G100"/>
    <mergeCell ref="F102:G103"/>
    <mergeCell ref="C92:C93"/>
    <mergeCell ref="E92:E93"/>
    <mergeCell ref="E104:E105"/>
    <mergeCell ref="C77:C78"/>
    <mergeCell ref="E77:E78"/>
    <mergeCell ref="C62:C63"/>
    <mergeCell ref="E62:E63"/>
    <mergeCell ref="C26:C27"/>
    <mergeCell ref="E26:E27"/>
    <mergeCell ref="C29:C30"/>
    <mergeCell ref="E29:E30"/>
    <mergeCell ref="E53:E54"/>
    <mergeCell ref="C44:C45"/>
    <mergeCell ref="E44:E45"/>
    <mergeCell ref="C47:C48"/>
    <mergeCell ref="E74:E75"/>
    <mergeCell ref="E47:E48"/>
    <mergeCell ref="C50:C51"/>
    <mergeCell ref="C68:C69"/>
    <mergeCell ref="E11:E12"/>
    <mergeCell ref="C20:C21"/>
    <mergeCell ref="E20:E21"/>
    <mergeCell ref="C23:C24"/>
    <mergeCell ref="E23:E24"/>
    <mergeCell ref="C121:C122"/>
    <mergeCell ref="A1:G1"/>
    <mergeCell ref="C5:E5"/>
    <mergeCell ref="C6:E6"/>
    <mergeCell ref="C8:C9"/>
    <mergeCell ref="E8:E9"/>
    <mergeCell ref="C14:C15"/>
    <mergeCell ref="E14:E15"/>
    <mergeCell ref="C17:C18"/>
    <mergeCell ref="E17:E18"/>
    <mergeCell ref="A117:B118"/>
    <mergeCell ref="F117:G118"/>
    <mergeCell ref="F57:G58"/>
    <mergeCell ref="C65:C66"/>
    <mergeCell ref="E65:E66"/>
    <mergeCell ref="C11:C12"/>
  </mergeCells>
  <conditionalFormatting sqref="G8">
    <cfRule type="expression" dxfId="0" priority="1" stopIfTrue="1">
      <formula>$B8&lt;&gt;""</formula>
    </cfRule>
  </conditionalFormatting>
  <printOptions horizontalCentered="1" verticalCentered="1"/>
  <pageMargins left="0" right="0" top="0" bottom="0" header="0" footer="0"/>
  <pageSetup paperSize="9" scale="4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view="pageBreakPreview" zoomScale="160" zoomScaleSheetLayoutView="160" workbookViewId="0">
      <selection activeCell="B10" sqref="B10:G10"/>
    </sheetView>
  </sheetViews>
  <sheetFormatPr defaultRowHeight="15"/>
  <cols>
    <col min="3" max="3" width="16.7109375" bestFit="1" customWidth="1"/>
  </cols>
  <sheetData>
    <row r="1" spans="1:9" ht="36">
      <c r="A1" s="264" t="s">
        <v>87</v>
      </c>
      <c r="B1" s="264"/>
      <c r="C1" s="264"/>
      <c r="D1" s="264"/>
      <c r="E1" s="264"/>
      <c r="F1" s="264"/>
      <c r="G1" s="264"/>
      <c r="H1" s="264"/>
      <c r="I1" s="264"/>
    </row>
    <row r="2" spans="1:9" ht="33.75">
      <c r="A2" s="125"/>
      <c r="B2" s="125"/>
      <c r="C2" s="125"/>
      <c r="D2" s="125"/>
      <c r="E2" s="125"/>
      <c r="F2" s="126"/>
      <c r="G2" s="125"/>
      <c r="H2" s="125"/>
      <c r="I2" s="125"/>
    </row>
    <row r="3" spans="1:9" ht="23.25">
      <c r="A3" s="127" t="s">
        <v>88</v>
      </c>
      <c r="B3" s="128"/>
      <c r="C3" s="129">
        <v>100230638</v>
      </c>
      <c r="D3" s="129"/>
      <c r="E3" s="129"/>
      <c r="F3" s="129" t="s">
        <v>89</v>
      </c>
      <c r="G3" s="130"/>
      <c r="H3" s="129" t="s">
        <v>27</v>
      </c>
      <c r="I3" s="131"/>
    </row>
    <row r="4" spans="1:9" ht="23.25">
      <c r="A4" s="132">
        <v>1</v>
      </c>
      <c r="B4" s="263" t="s">
        <v>91</v>
      </c>
      <c r="C4" s="263"/>
      <c r="D4" s="263"/>
      <c r="E4" s="263"/>
      <c r="F4" s="263"/>
      <c r="G4" s="263"/>
    </row>
    <row r="5" spans="1:9" ht="23.25">
      <c r="A5" s="132">
        <v>2</v>
      </c>
      <c r="B5" s="263" t="s">
        <v>92</v>
      </c>
      <c r="C5" s="263"/>
      <c r="D5" s="263"/>
      <c r="E5" s="263"/>
      <c r="F5" s="263"/>
      <c r="G5" s="263"/>
    </row>
    <row r="6" spans="1:9" ht="23.25">
      <c r="A6" s="132">
        <v>3</v>
      </c>
      <c r="B6" s="263" t="s">
        <v>93</v>
      </c>
      <c r="C6" s="263"/>
      <c r="D6" s="263"/>
      <c r="E6" s="263"/>
      <c r="F6" s="263"/>
      <c r="G6" s="263"/>
    </row>
    <row r="7" spans="1:9" ht="23.25">
      <c r="A7" s="132">
        <v>4</v>
      </c>
      <c r="B7" s="263" t="s">
        <v>90</v>
      </c>
      <c r="C7" s="263"/>
      <c r="D7" s="263"/>
      <c r="E7" s="263"/>
      <c r="F7" s="263"/>
      <c r="G7" s="263"/>
    </row>
    <row r="8" spans="1:9" ht="23.25">
      <c r="A8" s="132">
        <v>5</v>
      </c>
      <c r="B8" s="263" t="s">
        <v>94</v>
      </c>
      <c r="C8" s="263"/>
      <c r="D8" s="263"/>
      <c r="E8" s="263"/>
      <c r="F8" s="263"/>
      <c r="G8" s="263"/>
    </row>
    <row r="9" spans="1:9" ht="23.25">
      <c r="A9" s="132">
        <v>6</v>
      </c>
      <c r="B9" s="263" t="s">
        <v>95</v>
      </c>
      <c r="C9" s="263"/>
      <c r="D9" s="263"/>
      <c r="E9" s="263"/>
      <c r="F9" s="263"/>
      <c r="G9" s="263"/>
    </row>
    <row r="10" spans="1:9" ht="23.25">
      <c r="A10" s="132">
        <v>7</v>
      </c>
      <c r="B10" s="263" t="s">
        <v>30</v>
      </c>
      <c r="C10" s="263"/>
      <c r="D10" s="263"/>
      <c r="E10" s="263"/>
      <c r="F10" s="263"/>
      <c r="G10" s="263"/>
    </row>
  </sheetData>
  <mergeCells count="8">
    <mergeCell ref="B9:G9"/>
    <mergeCell ref="B10:G10"/>
    <mergeCell ref="A1:I1"/>
    <mergeCell ref="B4:G4"/>
    <mergeCell ref="B5:G5"/>
    <mergeCell ref="B6:G6"/>
    <mergeCell ref="B7:G7"/>
    <mergeCell ref="B8:G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58"/>
  <sheetViews>
    <sheetView tabSelected="1" view="pageBreakPreview" zoomScale="60" workbookViewId="0">
      <selection activeCell="O18" sqref="O18"/>
    </sheetView>
  </sheetViews>
  <sheetFormatPr defaultRowHeight="15"/>
  <cols>
    <col min="1" max="1" width="10.85546875" customWidth="1"/>
    <col min="2" max="2" width="12.42578125" customWidth="1"/>
    <col min="6" max="6" width="23.28515625" customWidth="1"/>
    <col min="7" max="7" width="12.5703125" customWidth="1"/>
    <col min="9" max="9" width="13" customWidth="1"/>
    <col min="11" max="11" width="27.42578125" customWidth="1"/>
  </cols>
  <sheetData>
    <row r="1" spans="1:11" ht="25.5">
      <c r="A1" s="273" t="s">
        <v>96</v>
      </c>
      <c r="B1" s="274"/>
      <c r="C1" s="275"/>
      <c r="D1" s="275"/>
      <c r="E1" s="275"/>
      <c r="F1" s="275"/>
      <c r="G1" s="275"/>
      <c r="H1" s="275"/>
      <c r="I1" s="275"/>
      <c r="J1" s="275"/>
      <c r="K1" s="276"/>
    </row>
    <row r="2" spans="1:11">
      <c r="A2" s="133" t="s">
        <v>97</v>
      </c>
      <c r="B2" s="134">
        <v>100230638</v>
      </c>
      <c r="C2" s="277" t="s">
        <v>98</v>
      </c>
      <c r="D2" s="278"/>
      <c r="E2" s="135"/>
      <c r="F2" s="136"/>
      <c r="G2" s="137" t="s">
        <v>99</v>
      </c>
      <c r="H2" s="138">
        <v>10</v>
      </c>
      <c r="I2" s="137" t="s">
        <v>100</v>
      </c>
      <c r="J2" s="137" t="s">
        <v>101</v>
      </c>
      <c r="K2" s="139"/>
    </row>
    <row r="3" spans="1:11">
      <c r="A3" s="133" t="s">
        <v>102</v>
      </c>
      <c r="B3" s="140"/>
      <c r="C3" s="279"/>
      <c r="D3" s="279"/>
      <c r="E3" s="141"/>
      <c r="F3" s="141"/>
      <c r="G3" s="137" t="s">
        <v>103</v>
      </c>
      <c r="H3" s="142"/>
      <c r="I3" s="142"/>
      <c r="J3" s="142"/>
      <c r="K3" s="143"/>
    </row>
    <row r="4" spans="1:11" ht="15.75" thickBot="1">
      <c r="A4" s="144" t="s">
        <v>104</v>
      </c>
      <c r="B4" s="145" t="s">
        <v>27</v>
      </c>
      <c r="C4" s="280"/>
      <c r="D4" s="281"/>
      <c r="E4" s="146"/>
      <c r="F4" s="147"/>
      <c r="G4" s="148" t="s">
        <v>105</v>
      </c>
      <c r="H4" s="149"/>
      <c r="I4" s="150"/>
      <c r="J4" s="142"/>
      <c r="K4" s="151"/>
    </row>
    <row r="5" spans="1:11">
      <c r="A5" s="282" t="s">
        <v>106</v>
      </c>
      <c r="B5" s="283"/>
      <c r="C5" s="283"/>
      <c r="D5" s="283"/>
      <c r="E5" s="283"/>
      <c r="F5" s="284"/>
      <c r="G5" s="285" t="s">
        <v>107</v>
      </c>
      <c r="H5" s="286"/>
      <c r="I5" s="286"/>
      <c r="J5" s="286"/>
      <c r="K5" s="287"/>
    </row>
    <row r="6" spans="1:11" ht="21">
      <c r="A6" s="152" t="s">
        <v>108</v>
      </c>
      <c r="B6" s="136" t="s">
        <v>109</v>
      </c>
      <c r="C6" s="136" t="s">
        <v>110</v>
      </c>
      <c r="D6" s="136" t="s">
        <v>111</v>
      </c>
      <c r="E6" s="136" t="s">
        <v>112</v>
      </c>
      <c r="F6" s="153" t="s">
        <v>113</v>
      </c>
      <c r="G6" s="291" t="s">
        <v>114</v>
      </c>
      <c r="H6" s="292"/>
      <c r="I6" s="293"/>
      <c r="J6" s="268" t="s">
        <v>115</v>
      </c>
      <c r="K6" s="269"/>
    </row>
    <row r="7" spans="1:11">
      <c r="A7" s="154" t="s">
        <v>116</v>
      </c>
      <c r="B7" s="155" t="s">
        <v>28</v>
      </c>
      <c r="C7" s="156">
        <v>35</v>
      </c>
      <c r="D7" s="157"/>
      <c r="E7" s="294" t="s">
        <v>117</v>
      </c>
      <c r="F7" s="296" t="s">
        <v>118</v>
      </c>
      <c r="G7" s="158"/>
      <c r="H7" s="159"/>
      <c r="I7" s="159"/>
      <c r="J7" s="159"/>
      <c r="K7" s="160"/>
    </row>
    <row r="8" spans="1:11">
      <c r="A8" s="265" t="s">
        <v>119</v>
      </c>
      <c r="B8" s="161" t="s">
        <v>120</v>
      </c>
      <c r="C8" s="156">
        <v>3</v>
      </c>
      <c r="D8" s="157"/>
      <c r="E8" s="295"/>
      <c r="F8" s="297"/>
      <c r="G8" s="158"/>
      <c r="H8" s="159"/>
      <c r="I8" s="159"/>
      <c r="J8" s="159"/>
      <c r="K8" s="160"/>
    </row>
    <row r="9" spans="1:11" ht="22.5">
      <c r="A9" s="266"/>
      <c r="B9" s="161" t="s">
        <v>121</v>
      </c>
      <c r="C9" s="156">
        <v>0</v>
      </c>
      <c r="D9" s="157"/>
      <c r="E9" s="159"/>
      <c r="F9" s="162" t="s">
        <v>122</v>
      </c>
      <c r="G9" s="163"/>
      <c r="H9" s="159"/>
      <c r="I9" s="159"/>
      <c r="J9" s="159"/>
      <c r="K9" s="160"/>
    </row>
    <row r="10" spans="1:11" ht="22.5">
      <c r="A10" s="266"/>
      <c r="B10" s="161" t="s">
        <v>123</v>
      </c>
      <c r="C10" s="156">
        <v>3</v>
      </c>
      <c r="D10" s="157"/>
      <c r="E10" s="159"/>
      <c r="F10" s="162" t="s">
        <v>124</v>
      </c>
      <c r="G10" s="158"/>
      <c r="H10" s="159"/>
      <c r="I10" s="159"/>
      <c r="J10" s="159"/>
      <c r="K10" s="160"/>
    </row>
    <row r="11" spans="1:11" ht="22.5">
      <c r="A11" s="266"/>
      <c r="B11" s="161" t="s">
        <v>125</v>
      </c>
      <c r="C11" s="156">
        <v>0</v>
      </c>
      <c r="D11" s="157"/>
      <c r="E11" s="159"/>
      <c r="F11" s="162" t="s">
        <v>126</v>
      </c>
      <c r="G11" s="158"/>
      <c r="H11" s="159"/>
      <c r="I11" s="159"/>
      <c r="J11" s="159"/>
      <c r="K11" s="160"/>
    </row>
    <row r="12" spans="1:11" ht="22.5">
      <c r="A12" s="266"/>
      <c r="B12" s="161" t="s">
        <v>127</v>
      </c>
      <c r="C12" s="156">
        <v>0</v>
      </c>
      <c r="D12" s="157"/>
      <c r="E12" s="159" t="s">
        <v>117</v>
      </c>
      <c r="F12" s="162" t="s">
        <v>128</v>
      </c>
      <c r="G12" s="158"/>
      <c r="H12" s="159"/>
      <c r="I12" s="159"/>
      <c r="J12" s="268" t="s">
        <v>129</v>
      </c>
      <c r="K12" s="269"/>
    </row>
    <row r="13" spans="1:11">
      <c r="A13" s="266"/>
      <c r="B13" s="161" t="s">
        <v>24</v>
      </c>
      <c r="C13" s="156">
        <v>4</v>
      </c>
      <c r="D13" s="157"/>
      <c r="E13" s="159" t="s">
        <v>117</v>
      </c>
      <c r="F13" s="162"/>
      <c r="G13" s="158"/>
      <c r="H13" s="159"/>
      <c r="I13" s="159"/>
      <c r="J13" s="159"/>
      <c r="K13" s="160"/>
    </row>
    <row r="14" spans="1:11" ht="22.5">
      <c r="A14" s="266"/>
      <c r="B14" s="161" t="s">
        <v>130</v>
      </c>
      <c r="C14" s="156">
        <v>0</v>
      </c>
      <c r="D14" s="157"/>
      <c r="E14" s="159"/>
      <c r="F14" s="162" t="s">
        <v>131</v>
      </c>
      <c r="G14" s="158"/>
      <c r="H14" s="159"/>
      <c r="I14" s="159"/>
      <c r="J14" s="159"/>
      <c r="K14" s="160"/>
    </row>
    <row r="15" spans="1:11" ht="22.5">
      <c r="A15" s="266"/>
      <c r="B15" s="164"/>
      <c r="C15" s="165"/>
      <c r="D15" s="157"/>
      <c r="E15" s="159" t="s">
        <v>117</v>
      </c>
      <c r="F15" s="162" t="s">
        <v>132</v>
      </c>
      <c r="G15" s="158"/>
      <c r="H15" s="159"/>
      <c r="I15" s="159"/>
      <c r="J15" s="159"/>
      <c r="K15" s="160"/>
    </row>
    <row r="16" spans="1:11" ht="22.5">
      <c r="A16" s="266"/>
      <c r="B16" s="164"/>
      <c r="C16" s="165"/>
      <c r="D16" s="157"/>
      <c r="E16" s="159" t="s">
        <v>117</v>
      </c>
      <c r="F16" s="162" t="s">
        <v>133</v>
      </c>
      <c r="G16" s="158"/>
      <c r="H16" s="159"/>
      <c r="I16" s="159"/>
      <c r="J16" s="159"/>
      <c r="K16" s="160"/>
    </row>
    <row r="17" spans="1:11">
      <c r="A17" s="266"/>
      <c r="B17" s="164"/>
      <c r="C17" s="165"/>
      <c r="D17" s="166"/>
      <c r="E17" s="159" t="s">
        <v>117</v>
      </c>
      <c r="F17" s="162"/>
      <c r="G17" s="270"/>
      <c r="H17" s="271"/>
      <c r="I17" s="272"/>
      <c r="J17" s="268" t="s">
        <v>134</v>
      </c>
      <c r="K17" s="269"/>
    </row>
    <row r="18" spans="1:11" ht="22.5">
      <c r="A18" s="267"/>
      <c r="B18" s="167" t="s">
        <v>135</v>
      </c>
      <c r="C18" s="165">
        <f>SUM(C7:C17)</f>
        <v>45</v>
      </c>
      <c r="D18" s="157"/>
      <c r="E18" s="159"/>
      <c r="F18" s="162" t="s">
        <v>136</v>
      </c>
      <c r="G18" s="158"/>
      <c r="H18" s="159"/>
      <c r="I18" s="159"/>
      <c r="J18" s="159"/>
      <c r="K18" s="160"/>
    </row>
    <row r="19" spans="1:11">
      <c r="A19" s="168"/>
      <c r="B19" s="169"/>
      <c r="C19" s="170"/>
      <c r="D19" s="157"/>
      <c r="E19" s="159"/>
      <c r="F19" s="296" t="s">
        <v>137</v>
      </c>
      <c r="G19" s="158"/>
      <c r="H19" s="159"/>
      <c r="I19" s="159"/>
      <c r="J19" s="159"/>
      <c r="K19" s="160"/>
    </row>
    <row r="20" spans="1:11" ht="22.5">
      <c r="A20" s="171" t="s">
        <v>138</v>
      </c>
      <c r="B20" s="172" t="s">
        <v>139</v>
      </c>
      <c r="C20" s="173" t="s">
        <v>140</v>
      </c>
      <c r="D20" s="157"/>
      <c r="E20" s="159"/>
      <c r="F20" s="297"/>
      <c r="G20" s="158"/>
      <c r="H20" s="159"/>
      <c r="I20" s="159"/>
      <c r="J20" s="159"/>
      <c r="K20" s="160"/>
    </row>
    <row r="21" spans="1:11" ht="22.5">
      <c r="A21" s="171" t="s">
        <v>141</v>
      </c>
      <c r="B21" s="172" t="s">
        <v>142</v>
      </c>
      <c r="C21" s="173" t="s">
        <v>140</v>
      </c>
      <c r="D21" s="157"/>
      <c r="E21" s="159"/>
      <c r="F21" s="162"/>
      <c r="G21" s="158"/>
      <c r="H21" s="159"/>
      <c r="I21" s="159"/>
      <c r="J21" s="159"/>
      <c r="K21" s="160"/>
    </row>
    <row r="22" spans="1:11" ht="22.5">
      <c r="A22" s="171" t="s">
        <v>143</v>
      </c>
      <c r="B22" s="172" t="s">
        <v>144</v>
      </c>
      <c r="C22" s="173" t="s">
        <v>140</v>
      </c>
      <c r="D22" s="157"/>
      <c r="E22" s="159"/>
      <c r="F22" s="162"/>
      <c r="G22" s="158"/>
      <c r="H22" s="159"/>
      <c r="I22" s="159"/>
      <c r="J22" s="159"/>
      <c r="K22" s="160"/>
    </row>
    <row r="23" spans="1:11" ht="15.75" thickBot="1">
      <c r="A23" s="298" t="s">
        <v>145</v>
      </c>
      <c r="B23" s="159"/>
      <c r="C23" s="146"/>
      <c r="D23" s="157"/>
      <c r="E23" s="159"/>
      <c r="F23" s="162"/>
      <c r="G23" s="174"/>
      <c r="H23" s="175"/>
      <c r="I23" s="175"/>
      <c r="J23" s="175"/>
      <c r="K23" s="176"/>
    </row>
    <row r="24" spans="1:11">
      <c r="A24" s="299"/>
      <c r="B24" s="177"/>
      <c r="C24" s="300"/>
      <c r="D24" s="178"/>
      <c r="E24" s="159"/>
      <c r="F24" s="296"/>
      <c r="G24" s="303" t="s">
        <v>146</v>
      </c>
      <c r="H24" s="304"/>
      <c r="I24" s="304"/>
      <c r="J24" s="304"/>
      <c r="K24" s="305"/>
    </row>
    <row r="25" spans="1:11">
      <c r="A25" s="171" t="s">
        <v>147</v>
      </c>
      <c r="B25" s="179" t="s">
        <v>148</v>
      </c>
      <c r="C25" s="301"/>
      <c r="D25" s="178"/>
      <c r="E25" s="159"/>
      <c r="F25" s="297"/>
      <c r="G25" s="180" t="s">
        <v>108</v>
      </c>
      <c r="H25" s="181" t="s">
        <v>112</v>
      </c>
      <c r="I25" s="159" t="s">
        <v>149</v>
      </c>
      <c r="J25" s="159" t="s">
        <v>150</v>
      </c>
      <c r="K25" s="160" t="s">
        <v>113</v>
      </c>
    </row>
    <row r="26" spans="1:11" ht="33.75">
      <c r="A26" s="182"/>
      <c r="B26" s="179"/>
      <c r="C26" s="302"/>
      <c r="D26" s="183"/>
      <c r="E26" s="159"/>
      <c r="F26" s="162"/>
      <c r="G26" s="184" t="s">
        <v>151</v>
      </c>
      <c r="H26" s="159" t="s">
        <v>152</v>
      </c>
      <c r="I26" s="159" t="s">
        <v>153</v>
      </c>
      <c r="J26" s="170"/>
      <c r="K26" s="160" t="s">
        <v>154</v>
      </c>
    </row>
    <row r="27" spans="1:11" ht="34.5" thickBot="1">
      <c r="A27" s="171" t="s">
        <v>155</v>
      </c>
      <c r="B27" s="185" t="s">
        <v>156</v>
      </c>
      <c r="C27" s="186"/>
      <c r="D27" s="157"/>
      <c r="E27" s="159"/>
      <c r="F27" s="162" t="s">
        <v>157</v>
      </c>
      <c r="G27" s="187"/>
      <c r="H27" s="159"/>
      <c r="I27" s="159"/>
      <c r="J27" s="170"/>
      <c r="K27" s="160" t="s">
        <v>158</v>
      </c>
    </row>
    <row r="28" spans="1:11" ht="33.75">
      <c r="A28" s="182"/>
      <c r="B28" s="188" t="s">
        <v>159</v>
      </c>
      <c r="C28" s="288"/>
      <c r="D28" s="178"/>
      <c r="E28" s="159"/>
      <c r="F28" s="162" t="s">
        <v>160</v>
      </c>
      <c r="G28" s="184" t="s">
        <v>161</v>
      </c>
      <c r="H28" s="159" t="s">
        <v>152</v>
      </c>
      <c r="I28" s="159" t="s">
        <v>153</v>
      </c>
      <c r="J28" s="170"/>
      <c r="K28" s="160" t="s">
        <v>162</v>
      </c>
    </row>
    <row r="29" spans="1:11" ht="33.75">
      <c r="A29" s="171" t="s">
        <v>163</v>
      </c>
      <c r="B29" s="188"/>
      <c r="C29" s="289"/>
      <c r="D29" s="178"/>
      <c r="E29" s="159" t="s">
        <v>117</v>
      </c>
      <c r="F29" s="162" t="s">
        <v>164</v>
      </c>
      <c r="G29" s="187"/>
      <c r="H29" s="159"/>
      <c r="I29" s="170"/>
      <c r="J29" s="170"/>
      <c r="K29" s="160" t="s">
        <v>165</v>
      </c>
    </row>
    <row r="30" spans="1:11" ht="22.5">
      <c r="A30" s="182"/>
      <c r="B30" s="188"/>
      <c r="C30" s="289"/>
      <c r="D30" s="178"/>
      <c r="E30" s="159"/>
      <c r="F30" s="162" t="s">
        <v>166</v>
      </c>
      <c r="G30" s="184" t="s">
        <v>167</v>
      </c>
      <c r="H30" s="159" t="s">
        <v>168</v>
      </c>
      <c r="I30" s="170"/>
      <c r="J30" s="170"/>
      <c r="K30" s="160"/>
    </row>
    <row r="31" spans="1:11" ht="22.5">
      <c r="A31" s="182"/>
      <c r="B31" s="188"/>
      <c r="C31" s="289"/>
      <c r="D31" s="178"/>
      <c r="E31" s="159" t="s">
        <v>117</v>
      </c>
      <c r="F31" s="162" t="s">
        <v>169</v>
      </c>
      <c r="G31" s="187"/>
      <c r="H31" s="159"/>
      <c r="I31" s="170"/>
      <c r="J31" s="170"/>
      <c r="K31" s="160"/>
    </row>
    <row r="32" spans="1:11" ht="22.5">
      <c r="A32" s="171" t="s">
        <v>170</v>
      </c>
      <c r="B32" s="188"/>
      <c r="C32" s="289"/>
      <c r="D32" s="178"/>
      <c r="E32" s="159"/>
      <c r="F32" s="162" t="s">
        <v>171</v>
      </c>
      <c r="G32" s="189" t="s">
        <v>172</v>
      </c>
      <c r="H32" s="159" t="s">
        <v>173</v>
      </c>
      <c r="I32" s="170"/>
      <c r="J32" s="170"/>
      <c r="K32" s="160" t="s">
        <v>174</v>
      </c>
    </row>
    <row r="33" spans="1:11" ht="22.5">
      <c r="A33" s="182"/>
      <c r="B33" s="188"/>
      <c r="C33" s="289"/>
      <c r="D33" s="178"/>
      <c r="E33" s="159"/>
      <c r="F33" s="162" t="s">
        <v>175</v>
      </c>
      <c r="G33" s="187"/>
      <c r="H33" s="159"/>
      <c r="I33" s="159"/>
      <c r="J33" s="170"/>
      <c r="K33" s="160"/>
    </row>
    <row r="34" spans="1:11" ht="34.5" thickBot="1">
      <c r="A34" s="182"/>
      <c r="B34" s="190"/>
      <c r="C34" s="290"/>
      <c r="D34" s="178"/>
      <c r="E34" s="159"/>
      <c r="F34" s="162" t="s">
        <v>176</v>
      </c>
      <c r="G34" s="184" t="s">
        <v>177</v>
      </c>
      <c r="H34" s="159" t="s">
        <v>173</v>
      </c>
      <c r="I34" s="170"/>
      <c r="J34" s="170"/>
      <c r="K34" s="160" t="s">
        <v>174</v>
      </c>
    </row>
    <row r="35" spans="1:11" ht="22.5">
      <c r="A35" s="182"/>
      <c r="B35" s="159"/>
      <c r="C35" s="191"/>
      <c r="D35" s="157"/>
      <c r="E35" s="159"/>
      <c r="F35" s="162" t="s">
        <v>178</v>
      </c>
      <c r="G35" s="187" t="s">
        <v>179</v>
      </c>
      <c r="H35" s="159"/>
      <c r="I35" s="170"/>
      <c r="J35" s="170"/>
      <c r="K35" s="160"/>
    </row>
    <row r="36" spans="1:11" ht="22.5">
      <c r="A36" s="171" t="s">
        <v>180</v>
      </c>
      <c r="B36" s="170" t="s">
        <v>181</v>
      </c>
      <c r="C36" s="170" t="s">
        <v>182</v>
      </c>
      <c r="D36" s="157"/>
      <c r="E36" s="159"/>
      <c r="F36" s="162" t="s">
        <v>183</v>
      </c>
      <c r="G36" s="184" t="s">
        <v>184</v>
      </c>
      <c r="H36" s="159" t="s">
        <v>173</v>
      </c>
      <c r="I36" s="170"/>
      <c r="J36" s="170"/>
      <c r="K36" s="160" t="s">
        <v>174</v>
      </c>
    </row>
    <row r="37" spans="1:11">
      <c r="A37" s="192" t="s">
        <v>185</v>
      </c>
      <c r="B37" s="193"/>
      <c r="C37" s="172"/>
      <c r="D37" s="172"/>
      <c r="E37" s="159"/>
      <c r="F37" s="162"/>
      <c r="G37" s="187"/>
      <c r="H37" s="159"/>
      <c r="I37" s="159"/>
      <c r="J37" s="170"/>
      <c r="K37" s="160"/>
    </row>
    <row r="38" spans="1:11" ht="22.5">
      <c r="A38" s="192" t="s">
        <v>28</v>
      </c>
      <c r="B38" s="194" t="s">
        <v>186</v>
      </c>
      <c r="C38" s="172" t="s">
        <v>187</v>
      </c>
      <c r="D38" s="194" t="s">
        <v>186</v>
      </c>
      <c r="E38" s="159"/>
      <c r="F38" s="162"/>
      <c r="G38" s="184" t="s">
        <v>188</v>
      </c>
      <c r="H38" s="159"/>
      <c r="I38" s="170"/>
      <c r="J38" s="170"/>
      <c r="K38" s="160" t="s">
        <v>189</v>
      </c>
    </row>
    <row r="39" spans="1:11" ht="15.75" thickBot="1">
      <c r="A39" s="195" t="s">
        <v>190</v>
      </c>
      <c r="B39" s="194" t="s">
        <v>191</v>
      </c>
      <c r="C39" s="196"/>
      <c r="D39" s="196"/>
      <c r="E39" s="175"/>
      <c r="F39" s="197"/>
      <c r="G39" s="198"/>
      <c r="H39" s="175"/>
      <c r="I39" s="199"/>
      <c r="J39" s="199"/>
      <c r="K39" s="176"/>
    </row>
    <row r="40" spans="1:11">
      <c r="A40" s="307" t="s">
        <v>192</v>
      </c>
      <c r="B40" s="308"/>
      <c r="C40" s="308"/>
      <c r="D40" s="308"/>
      <c r="E40" s="308"/>
      <c r="F40" s="308"/>
      <c r="G40" s="308"/>
      <c r="H40" s="308"/>
      <c r="I40" s="308"/>
      <c r="J40" s="308"/>
      <c r="K40" s="309"/>
    </row>
    <row r="41" spans="1:11" ht="33.75">
      <c r="A41" s="200" t="s">
        <v>193</v>
      </c>
      <c r="B41" s="201" t="s">
        <v>194</v>
      </c>
      <c r="C41" s="202" t="s">
        <v>194</v>
      </c>
      <c r="D41" s="157"/>
      <c r="E41" s="159"/>
      <c r="F41" s="181" t="s">
        <v>195</v>
      </c>
      <c r="G41" s="203" t="s">
        <v>196</v>
      </c>
      <c r="H41" s="159"/>
      <c r="I41" s="170"/>
      <c r="J41" s="170"/>
      <c r="K41" s="160" t="s">
        <v>197</v>
      </c>
    </row>
    <row r="42" spans="1:11" ht="33.75">
      <c r="A42" s="204"/>
      <c r="B42" s="201"/>
      <c r="C42" s="201"/>
      <c r="D42" s="157"/>
      <c r="E42" s="159"/>
      <c r="F42" s="181"/>
      <c r="G42" s="203" t="s">
        <v>198</v>
      </c>
      <c r="H42" s="159" t="s">
        <v>199</v>
      </c>
      <c r="I42" s="170"/>
      <c r="J42" s="170"/>
      <c r="K42" s="160" t="s">
        <v>200</v>
      </c>
    </row>
    <row r="43" spans="1:11" ht="22.5">
      <c r="A43" s="200" t="s">
        <v>201</v>
      </c>
      <c r="B43" s="201" t="s">
        <v>194</v>
      </c>
      <c r="C43" s="202" t="s">
        <v>194</v>
      </c>
      <c r="D43" s="157"/>
      <c r="E43" s="159"/>
      <c r="F43" s="181" t="s">
        <v>202</v>
      </c>
      <c r="G43" s="159"/>
      <c r="H43" s="159"/>
      <c r="I43" s="159"/>
      <c r="J43" s="159"/>
      <c r="K43" s="160"/>
    </row>
    <row r="44" spans="1:11" ht="33.75">
      <c r="A44" s="204"/>
      <c r="B44" s="201"/>
      <c r="C44" s="202"/>
      <c r="D44" s="170"/>
      <c r="E44" s="159"/>
      <c r="F44" s="181" t="s">
        <v>203</v>
      </c>
      <c r="G44" s="203" t="s">
        <v>204</v>
      </c>
      <c r="H44" s="159"/>
      <c r="I44" s="170"/>
      <c r="J44" s="170"/>
      <c r="K44" s="160" t="s">
        <v>205</v>
      </c>
    </row>
    <row r="45" spans="1:11" ht="33.75">
      <c r="A45" s="200" t="s">
        <v>206</v>
      </c>
      <c r="B45" s="201" t="s">
        <v>207</v>
      </c>
      <c r="C45" s="201" t="s">
        <v>207</v>
      </c>
      <c r="D45" s="157"/>
      <c r="E45" s="159"/>
      <c r="F45" s="181" t="s">
        <v>195</v>
      </c>
      <c r="G45" s="203" t="s">
        <v>208</v>
      </c>
      <c r="H45" s="159"/>
      <c r="I45" s="170"/>
      <c r="J45" s="170"/>
      <c r="K45" s="160" t="s">
        <v>209</v>
      </c>
    </row>
    <row r="46" spans="1:11" ht="33.75">
      <c r="A46" s="204"/>
      <c r="B46" s="201"/>
      <c r="C46" s="202"/>
      <c r="D46" s="170"/>
      <c r="E46" s="159"/>
      <c r="F46" s="181"/>
      <c r="G46" s="203" t="s">
        <v>210</v>
      </c>
      <c r="H46" s="159" t="s">
        <v>211</v>
      </c>
      <c r="I46" s="170"/>
      <c r="J46" s="170"/>
      <c r="K46" s="160" t="s">
        <v>212</v>
      </c>
    </row>
    <row r="47" spans="1:11" ht="33.75">
      <c r="A47" s="200" t="s">
        <v>213</v>
      </c>
      <c r="B47" s="201" t="s">
        <v>207</v>
      </c>
      <c r="C47" s="201" t="s">
        <v>207</v>
      </c>
      <c r="D47" s="157"/>
      <c r="E47" s="159"/>
      <c r="F47" s="181" t="s">
        <v>214</v>
      </c>
      <c r="G47" s="159"/>
      <c r="H47" s="159"/>
      <c r="I47" s="170"/>
      <c r="J47" s="170"/>
      <c r="K47" s="160" t="s">
        <v>215</v>
      </c>
    </row>
    <row r="48" spans="1:11" ht="34.5" thickBot="1">
      <c r="A48" s="310" t="s">
        <v>216</v>
      </c>
      <c r="B48" s="311"/>
      <c r="C48" s="205"/>
      <c r="D48" s="157"/>
      <c r="E48" s="159"/>
      <c r="F48" s="181"/>
      <c r="G48" s="159"/>
      <c r="H48" s="159"/>
      <c r="I48" s="170"/>
      <c r="J48" s="170"/>
      <c r="K48" s="160" t="s">
        <v>217</v>
      </c>
    </row>
    <row r="49" spans="1:11" ht="33.75">
      <c r="A49" s="312"/>
      <c r="B49" s="313"/>
      <c r="C49" s="205"/>
      <c r="D49" s="157"/>
      <c r="E49" s="159"/>
      <c r="F49" s="181"/>
      <c r="G49" s="159"/>
      <c r="H49" s="159"/>
      <c r="I49" s="170"/>
      <c r="J49" s="170"/>
      <c r="K49" s="160" t="s">
        <v>218</v>
      </c>
    </row>
    <row r="50" spans="1:11" ht="22.5">
      <c r="A50" s="312"/>
      <c r="B50" s="313"/>
      <c r="C50" s="170"/>
      <c r="D50" s="157"/>
      <c r="E50" s="159"/>
      <c r="F50" s="181"/>
      <c r="G50" s="159"/>
      <c r="H50" s="159"/>
      <c r="I50" s="159"/>
      <c r="J50" s="159"/>
      <c r="K50" s="160" t="s">
        <v>219</v>
      </c>
    </row>
    <row r="51" spans="1:11" ht="33.75">
      <c r="A51" s="312"/>
      <c r="B51" s="313"/>
      <c r="C51" s="170"/>
      <c r="D51" s="170"/>
      <c r="E51" s="159"/>
      <c r="F51" s="181"/>
      <c r="G51" s="203" t="s">
        <v>220</v>
      </c>
      <c r="H51" s="206" t="s">
        <v>221</v>
      </c>
      <c r="I51" s="159"/>
      <c r="J51" s="159"/>
      <c r="K51" s="160" t="s">
        <v>222</v>
      </c>
    </row>
    <row r="52" spans="1:11" ht="33.75">
      <c r="A52" s="312"/>
      <c r="B52" s="313"/>
      <c r="C52" s="170"/>
      <c r="D52" s="170"/>
      <c r="E52" s="159"/>
      <c r="F52" s="181"/>
      <c r="G52" s="207"/>
      <c r="H52" s="206"/>
      <c r="I52" s="170"/>
      <c r="J52" s="170"/>
      <c r="K52" s="160" t="s">
        <v>223</v>
      </c>
    </row>
    <row r="53" spans="1:11" ht="33.75">
      <c r="A53" s="312"/>
      <c r="B53" s="313"/>
      <c r="C53" s="170"/>
      <c r="D53" s="170"/>
      <c r="E53" s="159"/>
      <c r="F53" s="181"/>
      <c r="G53" s="207"/>
      <c r="H53" s="206"/>
      <c r="I53" s="170"/>
      <c r="J53" s="170"/>
      <c r="K53" s="208" t="s">
        <v>224</v>
      </c>
    </row>
    <row r="54" spans="1:11">
      <c r="A54" s="312"/>
      <c r="B54" s="313"/>
      <c r="C54" s="146"/>
      <c r="D54" s="146"/>
      <c r="E54" s="209"/>
      <c r="F54" s="210"/>
      <c r="G54" s="211"/>
      <c r="H54" s="212"/>
      <c r="I54" s="146"/>
      <c r="J54" s="146"/>
      <c r="K54" s="213"/>
    </row>
    <row r="55" spans="1:11">
      <c r="A55" s="314"/>
      <c r="B55" s="315"/>
      <c r="C55" s="146"/>
      <c r="D55" s="146"/>
      <c r="E55" s="209"/>
      <c r="F55" s="210"/>
      <c r="G55" s="211"/>
      <c r="H55" s="212"/>
      <c r="I55" s="146"/>
      <c r="J55" s="146"/>
      <c r="K55" s="213"/>
    </row>
    <row r="56" spans="1:11" ht="15.75" thickBot="1">
      <c r="A56" s="214" t="s">
        <v>225</v>
      </c>
      <c r="B56" s="316" t="s">
        <v>226</v>
      </c>
      <c r="C56" s="317"/>
      <c r="D56" s="317"/>
      <c r="E56" s="317"/>
      <c r="F56" s="317"/>
      <c r="G56" s="317"/>
      <c r="H56" s="317"/>
      <c r="I56" s="317"/>
      <c r="J56" s="318"/>
      <c r="K56" s="215"/>
    </row>
    <row r="57" spans="1:11">
      <c r="A57" s="216"/>
      <c r="B57" s="217"/>
      <c r="C57" s="217"/>
      <c r="D57" s="217"/>
      <c r="E57" s="217"/>
      <c r="F57" s="218"/>
      <c r="G57" s="306"/>
      <c r="H57" s="306"/>
      <c r="I57" s="217"/>
      <c r="J57" s="217"/>
      <c r="K57" s="218"/>
    </row>
    <row r="58" spans="1:11">
      <c r="A58" s="217"/>
      <c r="B58" s="217"/>
      <c r="C58" s="219"/>
      <c r="D58" s="217"/>
      <c r="E58" s="217"/>
      <c r="F58" s="218"/>
      <c r="G58" s="306"/>
      <c r="H58" s="306"/>
      <c r="I58" s="219"/>
      <c r="J58" s="217"/>
      <c r="K58" s="218"/>
    </row>
  </sheetData>
  <mergeCells count="32">
    <mergeCell ref="A23:A24"/>
    <mergeCell ref="C24:C26"/>
    <mergeCell ref="F24:F25"/>
    <mergeCell ref="G24:K24"/>
    <mergeCell ref="G58:H58"/>
    <mergeCell ref="A40:K40"/>
    <mergeCell ref="A48:B48"/>
    <mergeCell ref="A49:B49"/>
    <mergeCell ref="A50:B50"/>
    <mergeCell ref="A51:B51"/>
    <mergeCell ref="A52:B52"/>
    <mergeCell ref="A53:B53"/>
    <mergeCell ref="A54:B54"/>
    <mergeCell ref="A55:B55"/>
    <mergeCell ref="B56:J56"/>
    <mergeCell ref="G57:H57"/>
    <mergeCell ref="C28:C34"/>
    <mergeCell ref="G6:I6"/>
    <mergeCell ref="J6:K6"/>
    <mergeCell ref="E7:E8"/>
    <mergeCell ref="F7:F8"/>
    <mergeCell ref="F19:F20"/>
    <mergeCell ref="A8:A18"/>
    <mergeCell ref="J12:K12"/>
    <mergeCell ref="G17:I17"/>
    <mergeCell ref="J17:K17"/>
    <mergeCell ref="A1:K1"/>
    <mergeCell ref="C2:D2"/>
    <mergeCell ref="C3:D3"/>
    <mergeCell ref="C4:D4"/>
    <mergeCell ref="A5:F5"/>
    <mergeCell ref="G5:K5"/>
  </mergeCells>
  <pageMargins left="0.7" right="0.7" top="0.75" bottom="0.75" header="0.3" footer="0.3"/>
  <pageSetup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100230638</vt:lpstr>
      <vt:lpstr>CRITICAL</vt:lpstr>
      <vt:lpstr>NSR</vt:lpstr>
      <vt:lpstr>'100230638'!Print_Area</vt:lpstr>
      <vt:lpstr>CRITICAL!Print_Area</vt:lpstr>
      <vt:lpstr>NSR!Print_Area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105GF.IE</dc:creator>
  <cp:lastModifiedBy>105GF.IE</cp:lastModifiedBy>
  <cp:lastPrinted>2026-04-22T09:47:41Z</cp:lastPrinted>
  <dcterms:created xsi:type="dcterms:W3CDTF">2025-05-10T09:07:43Z</dcterms:created>
  <dcterms:modified xsi:type="dcterms:W3CDTF">2026-04-22T09:50:21Z</dcterms:modified>
</cp:coreProperties>
</file>