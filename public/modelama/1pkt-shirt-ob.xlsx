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-105" yWindow="-105" windowWidth="19425" windowHeight="10305"/>
  </bookViews>
  <sheets>
    <sheet name="Sheet1" sheetId="1" r:id="rId1"/>
  </sheets>
  <calcPr calcId="124519"/>
  <x:extLst xmlns:x="http://schemas.openxmlformats.org/spreadsheetml/2006/main" xmlns:x15="http://schemas.microsoft.com/office/spreadsheetml/2010/11/main" xmlns:xcalcf="http://schemas.microsoft.com/office/spreadsheetml/2018/calcfeatures">
    <x:ext uri="{140A7094-0E35-4892-8432-C4D2E57EDEB5}">
      <x15:workbookPr chartTrackingRefBase="1"/>
    </x:ext>
    <x: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workbook>
</file>

<file path=xl/calcChain.xml><?xml version="1.0" encoding="utf-8"?>
<calcChain xmlns="http://schemas.openxmlformats.org/spreadsheetml/2006/main">
  <c r="M6" i="1"/>
  <c r="M7" s="1"/>
  <c r="I12"/>
  <c r="J12"/>
  <c r="K12" s="1"/>
  <c r="I13"/>
  <c r="J13"/>
  <c r="K13" s="1"/>
  <c r="I14"/>
  <c r="J14"/>
  <c r="K14" s="1"/>
  <c r="I15"/>
  <c r="J15"/>
  <c r="K15" s="1"/>
  <c r="L15" s="1"/>
  <c r="I16"/>
  <c r="J16"/>
  <c r="K16" s="1"/>
  <c r="L16" s="1"/>
  <c r="I17"/>
  <c r="J17"/>
  <c r="K17" s="1"/>
  <c r="L17" s="1"/>
  <c r="I18"/>
  <c r="J18"/>
  <c r="K18" s="1"/>
  <c r="L18" s="1"/>
  <c r="I19"/>
  <c r="J19"/>
  <c r="K19" s="1"/>
  <c r="L19" s="1"/>
  <c r="I20"/>
  <c r="J20"/>
  <c r="K20" s="1"/>
  <c r="L20" s="1"/>
  <c r="I21"/>
  <c r="J21"/>
  <c r="K21" s="1"/>
  <c r="L21" s="1"/>
  <c r="I22"/>
  <c r="J22"/>
  <c r="K22" s="1"/>
  <c r="L22" s="1"/>
  <c r="I23"/>
  <c r="J23"/>
  <c r="K23" s="1"/>
  <c r="I24"/>
  <c r="J24"/>
  <c r="K24" s="1"/>
  <c r="L24" s="1"/>
  <c r="I25"/>
  <c r="J25"/>
  <c r="K25" s="1"/>
  <c r="L25" s="1"/>
  <c r="I26"/>
  <c r="J26"/>
  <c r="K26" s="1"/>
  <c r="L26" s="1"/>
  <c r="I27"/>
  <c r="J27"/>
  <c r="K27" s="1"/>
  <c r="I28"/>
  <c r="J28"/>
  <c r="K28" s="1"/>
  <c r="L28" s="1"/>
  <c r="I29"/>
  <c r="J29"/>
  <c r="K29" s="1"/>
  <c r="L29" s="1"/>
  <c r="I30"/>
  <c r="J30"/>
  <c r="K30" s="1"/>
  <c r="L30" s="1"/>
  <c r="I31"/>
  <c r="J31"/>
  <c r="K31" s="1"/>
  <c r="L31" s="1"/>
  <c r="I32"/>
  <c r="J32"/>
  <c r="K32" s="1"/>
  <c r="L32" s="1"/>
  <c r="I33"/>
  <c r="J33"/>
  <c r="K33" s="1"/>
  <c r="L33" s="1"/>
  <c r="I34"/>
  <c r="J34"/>
  <c r="K34" s="1"/>
  <c r="L34" s="1"/>
  <c r="I35"/>
  <c r="J35"/>
  <c r="K35" s="1"/>
  <c r="L35" s="1"/>
  <c r="I36"/>
  <c r="J36"/>
  <c r="K36" s="1"/>
  <c r="L36" s="1"/>
  <c r="I37"/>
  <c r="J37"/>
  <c r="K37" s="1"/>
  <c r="L37" s="1"/>
  <c r="I38"/>
  <c r="J38"/>
  <c r="K38" s="1"/>
  <c r="I39"/>
  <c r="J39"/>
  <c r="K39" s="1"/>
  <c r="L39" s="1"/>
  <c r="I40"/>
  <c r="J40"/>
  <c r="K40" s="1"/>
  <c r="L40" s="1"/>
  <c r="I41"/>
  <c r="J41"/>
  <c r="K41" s="1"/>
  <c r="L41" s="1"/>
  <c r="I42"/>
  <c r="J42"/>
  <c r="K42" s="1"/>
  <c r="I43"/>
  <c r="J43"/>
  <c r="K43" s="1"/>
  <c r="L43" s="1"/>
  <c r="I44"/>
  <c r="J44"/>
  <c r="K44" s="1"/>
  <c r="L44" s="1"/>
  <c r="I45"/>
  <c r="J45"/>
  <c r="K45" s="1"/>
  <c r="L45" s="1"/>
  <c r="I46"/>
  <c r="J46"/>
  <c r="K46" s="1"/>
  <c r="L46" s="1"/>
  <c r="I47"/>
  <c r="J47"/>
  <c r="K47" s="1"/>
  <c r="L47" s="1"/>
  <c r="I48"/>
  <c r="J48"/>
  <c r="K48" s="1"/>
  <c r="L48" s="1"/>
  <c r="I49"/>
  <c r="J49"/>
  <c r="K49" s="1"/>
  <c r="L49" s="1"/>
  <c r="I50"/>
  <c r="J50"/>
  <c r="K50" s="1"/>
  <c r="L50" s="1"/>
  <c r="I51"/>
  <c r="J51"/>
  <c r="K51" s="1"/>
  <c r="L51" s="1"/>
  <c r="I52"/>
  <c r="J52"/>
  <c r="K52" s="1"/>
  <c r="L52" s="1"/>
  <c r="I53"/>
  <c r="J53"/>
  <c r="K53" s="1"/>
  <c r="L53" s="1"/>
  <c r="I54"/>
  <c r="J54"/>
  <c r="K54" s="1"/>
  <c r="L54" s="1"/>
  <c r="I55"/>
  <c r="J55"/>
  <c r="K55" s="1"/>
  <c r="L55" s="1"/>
  <c r="I56"/>
  <c r="J56"/>
  <c r="K56" s="1"/>
  <c r="L56" s="1"/>
  <c r="I57"/>
  <c r="J57"/>
  <c r="K57" s="1"/>
  <c r="L57" s="1"/>
  <c r="I58"/>
  <c r="J58"/>
  <c r="K58" s="1"/>
  <c r="L58" s="1"/>
  <c r="I59"/>
  <c r="J59"/>
  <c r="K59" s="1"/>
  <c r="L59" s="1"/>
  <c r="I60"/>
  <c r="J60"/>
  <c r="K60" s="1"/>
  <c r="L60" s="1"/>
  <c r="I61"/>
  <c r="J61"/>
  <c r="K61" s="1"/>
  <c r="L61" s="1"/>
  <c r="I62"/>
  <c r="J62"/>
  <c r="K62" s="1"/>
  <c r="L62" s="1"/>
  <c r="I63"/>
  <c r="J63"/>
  <c r="K63" s="1"/>
  <c r="L63" s="1"/>
  <c r="I64"/>
  <c r="J64"/>
  <c r="K64" s="1"/>
  <c r="L64" s="1"/>
  <c r="I65"/>
  <c r="J65"/>
  <c r="K65" s="1"/>
  <c r="L65" s="1"/>
  <c r="I66"/>
  <c r="J66"/>
  <c r="K66" s="1"/>
  <c r="I67"/>
  <c r="J67"/>
  <c r="K67" s="1"/>
  <c r="L67" s="1"/>
  <c r="I68"/>
  <c r="J68"/>
  <c r="K68" s="1"/>
  <c r="L68" s="1"/>
  <c r="I69"/>
  <c r="J69"/>
  <c r="K69" s="1"/>
  <c r="L69" s="1"/>
  <c r="I70"/>
  <c r="J70"/>
  <c r="K70" s="1"/>
  <c r="L70" s="1"/>
  <c r="I71"/>
  <c r="J71"/>
  <c r="K71" s="1"/>
  <c r="L71" s="1"/>
  <c r="I72"/>
  <c r="J72"/>
  <c r="K72" s="1"/>
  <c r="L72" s="1"/>
  <c r="I73"/>
  <c r="J73"/>
  <c r="K73" s="1"/>
  <c r="L73" s="1"/>
  <c r="I74"/>
  <c r="J74"/>
  <c r="K74" s="1"/>
  <c r="L74" s="1"/>
  <c r="I75"/>
  <c r="J75"/>
  <c r="K75" s="1"/>
  <c r="L75" s="1"/>
  <c r="I76"/>
  <c r="J76"/>
  <c r="K76" s="1"/>
  <c r="L76" s="1"/>
  <c r="I77"/>
  <c r="J77"/>
  <c r="K77" s="1"/>
  <c r="L77" s="1"/>
  <c r="I78"/>
  <c r="J78"/>
  <c r="K78" s="1"/>
  <c r="I79"/>
  <c r="J79"/>
  <c r="K79" s="1"/>
  <c r="I80"/>
  <c r="J80"/>
  <c r="K80" s="1"/>
  <c r="M8" l="1"/>
  <c r="M9" s="1"/>
  <c r="E94"/>
  <c r="L80"/>
  <c r="F94" s="1"/>
  <c r="E92"/>
  <c r="L78"/>
  <c r="F92" s="1"/>
  <c r="E91"/>
  <c r="L66"/>
  <c r="F91" s="1"/>
  <c r="E88"/>
  <c r="L27"/>
  <c r="F88" s="1"/>
  <c r="E87"/>
  <c r="L23"/>
  <c r="F87" s="1"/>
  <c r="E93"/>
  <c r="L79"/>
  <c r="F93" s="1"/>
  <c r="E90"/>
  <c r="L42"/>
  <c r="F90" s="1"/>
  <c r="E89"/>
  <c r="L38"/>
  <c r="F89" s="1"/>
  <c r="H9"/>
  <c r="E86"/>
  <c r="L14"/>
  <c r="E85"/>
  <c r="L13"/>
  <c r="F85" s="1"/>
  <c r="E84"/>
  <c r="H7"/>
  <c r="L12"/>
  <c r="F86" l="1"/>
  <c r="H6"/>
  <c r="H4"/>
  <c r="F84"/>
  <c r="H5" l="1"/>
</calcChain>
</file>

<file path=xl/sharedStrings.xml><?xml version="1.0" encoding="utf-8"?>
<sst xmlns="http://schemas.openxmlformats.org/spreadsheetml/2006/main" count="571" uniqueCount="178">
  <si>
    <t>100230638 1pkt Shirt</t>
  </si>
  <si>
    <t>Operation BreakDown For Production Stage</t>
  </si>
  <si>
    <t>Style Details and SMV</t>
  </si>
  <si>
    <t>Work Station and Manpower</t>
  </si>
  <si>
    <t>Efficiency and Output</t>
  </si>
  <si>
    <t>Style</t>
  </si>
  <si>
    <t>Total Work Stations</t>
  </si>
  <si>
    <t>Plan Efficiency(%)</t>
  </si>
  <si>
    <t>Customer</t>
  </si>
  <si>
    <t>Machine WorkStation</t>
  </si>
  <si>
    <t>Min Per Day</t>
  </si>
  <si>
    <t>Description</t>
  </si>
  <si>
    <t>Manual WorkStation</t>
  </si>
  <si>
    <t>O/P @100 %</t>
  </si>
  <si>
    <t>SMV</t>
  </si>
  <si>
    <t>Total Manpower</t>
  </si>
  <si>
    <t xml:space="preserve"> O/P @ Plan Efficiency</t>
  </si>
  <si>
    <t>Machine SMV</t>
  </si>
  <si>
    <t>No of Operator</t>
  </si>
  <si>
    <t>Output/Hour @ 100%</t>
  </si>
  <si>
    <t>Manual SMV</t>
  </si>
  <si>
    <t>No Of Helper</t>
  </si>
  <si>
    <t>Output/Hour at Planned Eff</t>
  </si>
  <si>
    <t>Balancing Based On</t>
  </si>
  <si>
    <t>Only Operator</t>
  </si>
  <si>
    <t>Made By</t>
  </si>
  <si>
    <t>SeqNo</t>
  </si>
  <si>
    <t>OPNO</t>
  </si>
  <si>
    <t>Status</t>
  </si>
  <si>
    <t>SubSection</t>
  </si>
  <si>
    <t>Work-Aid</t>
  </si>
  <si>
    <t>Machine</t>
  </si>
  <si>
    <t>Target /Day @100</t>
  </si>
  <si>
    <t>PCS/HR.</t>
  </si>
  <si>
    <t>Man.Req.</t>
  </si>
  <si>
    <t>Planned W/S</t>
  </si>
  <si>
    <t>Remarks</t>
  </si>
  <si>
    <t>IsHelper</t>
  </si>
  <si>
    <t>Modelama Export</t>
  </si>
  <si>
    <t>Style &amp; Co.</t>
  </si>
  <si>
    <t>Shirt</t>
  </si>
  <si>
    <t>md_user03</t>
  </si>
  <si>
    <t>Collar run stitch with thread insert</t>
  </si>
  <si>
    <t>P</t>
  </si>
  <si>
    <t>Collar</t>
  </si>
  <si>
    <t>Profile</t>
  </si>
  <si>
    <t>SNLS UBT</t>
  </si>
  <si>
    <t/>
  </si>
  <si>
    <t>No</t>
  </si>
  <si>
    <t>Collar Trim for press</t>
  </si>
  <si>
    <t>SNEC</t>
  </si>
  <si>
    <t>Collar turn &amp; Press</t>
  </si>
  <si>
    <t>Press</t>
  </si>
  <si>
    <t>Yes</t>
  </si>
  <si>
    <t xml:space="preserve">Collar top stitch </t>
  </si>
  <si>
    <t>3/16" CR</t>
  </si>
  <si>
    <t>Ready collar mark  cut for band attach</t>
  </si>
  <si>
    <t>Collar band crease and mark for attach</t>
  </si>
  <si>
    <t>Collar band attach to collar with peak make</t>
  </si>
  <si>
    <t>Paste fusing at collar peak</t>
  </si>
  <si>
    <t>Collar press  ready for attach</t>
  </si>
  <si>
    <t>Pattern</t>
  </si>
  <si>
    <t xml:space="preserve">Cuff crease and mark for tacking </t>
  </si>
  <si>
    <t>E</t>
  </si>
  <si>
    <t>Cuff</t>
  </si>
  <si>
    <t>Template</t>
  </si>
  <si>
    <t>Cuff corner tack with trim &amp; turn * 4</t>
  </si>
  <si>
    <t>Sleeve opening mark and cut v notch for placket</t>
  </si>
  <si>
    <t>Sleeve</t>
  </si>
  <si>
    <t>Manual</t>
  </si>
  <si>
    <t>Sleeve plackets crease and mark for attach</t>
  </si>
  <si>
    <t>Fusing side slit paste *4</t>
  </si>
  <si>
    <t>Sleeve outer placket attach</t>
  </si>
  <si>
    <t>Sleeve outer placket back edge stitch</t>
  </si>
  <si>
    <t>1/32"</t>
  </si>
  <si>
    <t>SNLS</t>
  </si>
  <si>
    <t>Sleeve outer placket close</t>
  </si>
  <si>
    <t>1/16"CR</t>
  </si>
  <si>
    <t xml:space="preserve">Sleeve inner plackets attach </t>
  </si>
  <si>
    <t>Sleeve inner placket back edge stitch</t>
  </si>
  <si>
    <t>Sleeve inner placket close</t>
  </si>
  <si>
    <t>1/32"CL</t>
  </si>
  <si>
    <t xml:space="preserve">Sleeve placket tack and finish box </t>
  </si>
  <si>
    <t>Sleeve cap stay stitch</t>
  </si>
  <si>
    <t>Sleeve tab Crease for E/stitch</t>
  </si>
  <si>
    <t>Sleeve tab</t>
  </si>
  <si>
    <t>Sleeve tab mark and tack at center</t>
  </si>
  <si>
    <t>pattern</t>
  </si>
  <si>
    <t>Sleeve tab E/stitch all-round, mark &amp;  cut</t>
  </si>
  <si>
    <t>fusing paste sleeve tab *2</t>
  </si>
  <si>
    <t>Sleeve tab mark &amp; attach*2</t>
  </si>
  <si>
    <t>XY TACKER</t>
  </si>
  <si>
    <t xml:space="preserve">Back pleat mark ,make  tack top </t>
  </si>
  <si>
    <t>Back</t>
  </si>
  <si>
    <t>Back yoke stay stitch</t>
  </si>
  <si>
    <t>Back Yoke attach with back</t>
  </si>
  <si>
    <t>Sewing guide</t>
  </si>
  <si>
    <t>Back yoke top Stitch</t>
  </si>
  <si>
    <t>1/4" CR</t>
  </si>
  <si>
    <t>DNLS</t>
  </si>
  <si>
    <t xml:space="preserve">Main label  make and mark attach </t>
  </si>
  <si>
    <t>Assembly</t>
  </si>
  <si>
    <t>Pocket mouth crease *1</t>
  </si>
  <si>
    <t>Pocket</t>
  </si>
  <si>
    <t>Pocket mouth hem * 1</t>
  </si>
  <si>
    <t>Front pocket crease * 1</t>
  </si>
  <si>
    <t>Front</t>
  </si>
  <si>
    <t>Pocket margin trim * 1</t>
  </si>
  <si>
    <t>Scissor</t>
  </si>
  <si>
    <t>Front button hole placket crease</t>
  </si>
  <si>
    <t>Front button hole placket run stitch</t>
  </si>
  <si>
    <t>sew-Guide</t>
  </si>
  <si>
    <t>Front button hole placket turn &amp; press</t>
  </si>
  <si>
    <t>Front button hole placket close</t>
  </si>
  <si>
    <t>1/32 CL</t>
  </si>
  <si>
    <t>Front button hole placket edge stitch</t>
  </si>
  <si>
    <t>Front button placket crease</t>
  </si>
  <si>
    <t>Front button placket hem manual</t>
  </si>
  <si>
    <t>Front mark for pocket attach*1</t>
  </si>
  <si>
    <t>Front patch pocket attach * 1</t>
  </si>
  <si>
    <t xml:space="preserve">Shoulder join (2 layer ) </t>
  </si>
  <si>
    <t>Sew-Guide</t>
  </si>
  <si>
    <t>Shoulder top stitch</t>
  </si>
  <si>
    <t>1/4" Gauge</t>
  </si>
  <si>
    <t>Neck line stay stitch</t>
  </si>
  <si>
    <t>3 Corner Guide</t>
  </si>
  <si>
    <t>Re-cut collar at bottom to attach neck</t>
  </si>
  <si>
    <t>Collar mark ready &amp; pair with body</t>
  </si>
  <si>
    <t>Collar mark &amp; attach at neckline</t>
  </si>
  <si>
    <t>Collar close with edge stitch all around</t>
  </si>
  <si>
    <t>Armhole stay stitch</t>
  </si>
  <si>
    <t>Sleeve attach at armhole</t>
  </si>
  <si>
    <t>3-corner guide</t>
  </si>
  <si>
    <t>Armhole overlock regular 5TH</t>
  </si>
  <si>
    <t>OL Guide</t>
  </si>
  <si>
    <t xml:space="preserve">5Th O/L	</t>
  </si>
  <si>
    <t>Tack at armpit for side seam</t>
  </si>
  <si>
    <t>T-Guide</t>
  </si>
  <si>
    <t>Side seam join underarm</t>
  </si>
  <si>
    <t>Side seam pin stitch with underarm</t>
  </si>
  <si>
    <t>Sleeve opening pleat mark &amp; make * 4</t>
  </si>
  <si>
    <t xml:space="preserve">Cuff attach </t>
  </si>
  <si>
    <t>Sewing Guide</t>
  </si>
  <si>
    <t>Cuff close</t>
  </si>
  <si>
    <t>Cuff 2nd time sew stitch *2</t>
  </si>
  <si>
    <t>Cuff edge stitch *2</t>
  </si>
  <si>
    <t>Bottom stay stitch</t>
  </si>
  <si>
    <t>Bottom hem  S T</t>
  </si>
  <si>
    <t xml:space="preserve"> Bottom hmr</t>
  </si>
  <si>
    <t>Wash care label  make and mark attach</t>
  </si>
  <si>
    <t>Bartack *2</t>
  </si>
  <si>
    <t>BARTACK</t>
  </si>
  <si>
    <t>Button attach *13</t>
  </si>
  <si>
    <t>BUTTON ATTACH</t>
  </si>
  <si>
    <t>Button hole *13</t>
  </si>
  <si>
    <t>BUTTON HOLE</t>
  </si>
  <si>
    <t>Total SMV :</t>
  </si>
  <si>
    <t>Machine Summary</t>
  </si>
  <si>
    <t>Type</t>
  </si>
  <si>
    <t>Req.Opr</t>
  </si>
  <si>
    <t>M/C.Req.</t>
  </si>
  <si>
    <t>sewing</t>
  </si>
  <si>
    <t>Sewing</t>
  </si>
  <si>
    <t>Special</t>
  </si>
  <si>
    <t>Target And Capacity</t>
  </si>
  <si>
    <t>Target(100%)</t>
  </si>
  <si>
    <t>Capacity/Hr.</t>
  </si>
  <si>
    <t>PCS@ 8 Hr.</t>
  </si>
  <si>
    <t>PRDCTY</t>
  </si>
  <si>
    <t>100</t>
  </si>
  <si>
    <t>95</t>
  </si>
  <si>
    <t>90</t>
  </si>
  <si>
    <t>85</t>
  </si>
  <si>
    <t>80</t>
  </si>
  <si>
    <t>75</t>
  </si>
  <si>
    <t>70</t>
  </si>
  <si>
    <t>65</t>
  </si>
  <si>
    <t>Methods Apparel Consultancy India Pvt Ltd(Pro-SMV)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</si>
</sst>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11"/>
      <color theme="1"/>
      <name val="Perpetua"/>
      <family val="1"/>
    </font>
    <font>
      <b/>
      <sz val="18"/>
      <color theme="1"/>
      <name val="Perpetua"/>
      <family val="1"/>
    </font>
    <font>
      <b/>
      <i/>
      <sz val="14"/>
      <color theme="1"/>
      <name val="Perpetua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NumberFormat="1" applyFont="1" applyFill="1" applyBorder="1" applyAlignment="1" applyProtection="1">
      <alignment horizontal="left" vertical="center"/>
    </xf>
    <xf numFmtId="0" fontId="2" fillId="6" borderId="1" xfId="0" applyNumberFormat="1" applyFont="1" applyFill="1" applyBorder="1" applyAlignment="1" applyProtection="1">
      <alignment vertical="center"/>
    </xf>
    <xf numFmtId="0" fontId="2" fillId="7" borderId="2" xfId="0" applyNumberFormat="1" applyFont="1" applyFill="1" applyBorder="1" applyAlignment="1" applyProtection="1">
      <alignment vertical="center"/>
    </xf>
    <xf numFmtId="0" fontId="2" fillId="7" borderId="3" xfId="0" applyNumberFormat="1" applyFont="1" applyFill="1" applyBorder="1" applyAlignment="1" applyProtection="1">
      <alignment vertical="center"/>
    </xf>
    <xf numFmtId="0" fontId="2" fillId="7" borderId="4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4" borderId="1" xfId="0" applyNumberFormat="1" applyFont="1" applyFill="1" applyBorder="1" applyAlignment="1" applyProtection="1">
      <alignment horizontal="center" vertical="center"/>
    </xf>
    <xf numFmtId="0" fontId="0" fillId="0" borderId="8" xfId="0" applyNumberFormat="1" applyFill="1" applyBorder="1" applyAlignment="1" applyProtection="1">
      <alignment horizontal="center" vertical="center"/>
    </xf>
    <xf numFmtId="0" fontId="0" fillId="0" borderId="8" xfId="0" applyNumberFormat="1" applyFill="1" applyBorder="1" applyAlignment="1" applyProtection="1">
      <alignment horizontal="left" vertical="center"/>
    </xf>
    <xf numFmtId="0" fontId="0" fillId="3" borderId="8" xfId="0" applyNumberForma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" fillId="6" borderId="2" xfId="0" applyNumberFormat="1" applyFont="1" applyFill="1" applyBorder="1" applyAlignment="1" applyProtection="1">
      <alignment horizontal="left" vertical="center"/>
    </xf>
    <xf numFmtId="0" fontId="1" fillId="6" borderId="3" xfId="0" applyNumberFormat="1" applyFont="1" applyFill="1" applyBorder="1" applyAlignment="1" applyProtection="1">
      <alignment horizontal="left" vertical="center"/>
    </xf>
    <xf numFmtId="0" fontId="1" fillId="7" borderId="2" xfId="0" applyNumberFormat="1" applyFont="1" applyFill="1" applyBorder="1" applyAlignment="1" applyProtection="1">
      <alignment horizontal="right" vertical="center" indent="8"/>
    </xf>
    <xf numFmtId="0" fontId="1" fillId="7" borderId="4" xfId="0" applyNumberFormat="1" applyFont="1" applyFill="1" applyBorder="1" applyAlignment="1" applyProtection="1">
      <alignment horizontal="right" vertical="center" indent="8"/>
    </xf>
    <xf numFmtId="0" fontId="2" fillId="2" borderId="1" xfId="0" applyNumberFormat="1" applyFont="1" applyFill="1" applyBorder="1" applyAlignment="1" applyProtection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5" borderId="2" xfId="0" applyNumberFormat="1" applyFont="1" applyFill="1" applyBorder="1" applyAlignment="1" applyProtection="1">
      <alignment horizontal="left" vertical="center"/>
    </xf>
    <xf numFmtId="0" fontId="2" fillId="5" borderId="3" xfId="0" applyNumberFormat="1" applyFont="1" applyFill="1" applyBorder="1" applyAlignment="1" applyProtection="1">
      <alignment horizontal="left" vertical="center"/>
    </xf>
    <xf numFmtId="0" fontId="2" fillId="5" borderId="4" xfId="0" applyNumberFormat="1" applyFont="1" applyFill="1" applyBorder="1" applyAlignment="1" applyProtection="1">
      <alignment horizontal="left" vertical="center"/>
    </xf>
    <xf numFmtId="0" fontId="0" fillId="5" borderId="2" xfId="0" applyNumberFormat="1" applyFill="1" applyBorder="1" applyAlignment="1" applyProtection="1">
      <alignment horizontal="center" vertical="center"/>
    </xf>
    <xf numFmtId="0" fontId="0" fillId="5" borderId="4" xfId="0" applyNumberFormat="1" applyFill="1" applyBorder="1" applyAlignment="1" applyProtection="1">
      <alignment horizontal="center" vertical="center"/>
    </xf>
    <xf numFmtId="0" fontId="2" fillId="7" borderId="2" xfId="0" applyNumberFormat="1" applyFont="1" applyFill="1" applyBorder="1" applyAlignment="1" applyProtection="1">
      <alignment horizontal="left" vertical="center"/>
    </xf>
    <xf numFmtId="0" fontId="2" fillId="7" borderId="3" xfId="0" applyNumberFormat="1" applyFont="1" applyFill="1" applyBorder="1" applyAlignment="1" applyProtection="1">
      <alignment horizontal="left" vertical="center"/>
    </xf>
    <xf numFmtId="0" fontId="2" fillId="7" borderId="4" xfId="0" applyNumberFormat="1" applyFont="1" applyFill="1" applyBorder="1" applyAlignment="1" applyProtection="1">
      <alignment horizontal="left" vertical="center"/>
    </xf>
    <xf numFmtId="0" fontId="1" fillId="6" borderId="1" xfId="0" applyNumberFormat="1" applyFont="1" applyFill="1" applyBorder="1" applyAlignment="1" applyProtection="1">
      <alignment horizontal="center" vertical="center"/>
    </xf>
    <xf numFmtId="0" fontId="2" fillId="6" borderId="1" xfId="0" applyNumberFormat="1" applyFont="1" applyFill="1" applyBorder="1" applyAlignment="1" applyProtection="1">
      <alignment horizontal="left" vertical="center"/>
    </xf>
    <xf numFmtId="0" fontId="1" fillId="6" borderId="1" xfId="0" applyNumberFormat="1" applyFont="1" applyFill="1" applyBorder="1" applyAlignment="1" applyProtection="1">
      <alignment horizontal="left" vertical="center"/>
    </xf>
    <xf numFmtId="0" fontId="1" fillId="2" borderId="1" xfId="0" quotePrefix="1" applyNumberFormat="1" applyFont="1" applyFill="1" applyBorder="1" applyAlignment="1" applyProtection="1">
      <alignment horizontal="left" vertical="center"/>
    </xf>
    <xf numFmtId="0" fontId="1" fillId="2" borderId="1" xfId="0" applyNumberFormat="1" applyFont="1" applyFill="1" applyBorder="1" applyAlignment="1" applyProtection="1">
      <alignment horizontal="left" vertical="center"/>
    </xf>
    <xf numFmtId="0" fontId="2" fillId="2" borderId="2" xfId="0" applyNumberFormat="1" applyFont="1" applyFill="1" applyBorder="1" applyAlignment="1" applyProtection="1">
      <alignment horizontal="left" vertical="center"/>
    </xf>
    <xf numFmtId="0" fontId="2" fillId="2" borderId="3" xfId="0" applyNumberFormat="1" applyFont="1" applyFill="1" applyBorder="1" applyAlignment="1" applyProtection="1">
      <alignment horizontal="left" vertical="center"/>
    </xf>
    <xf numFmtId="0" fontId="2" fillId="2" borderId="4" xfId="0" applyNumberFormat="1" applyFont="1" applyFill="1" applyBorder="1" applyAlignment="1" applyProtection="1">
      <alignment horizontal="left" vertical="center"/>
    </xf>
    <xf numFmtId="0" fontId="1" fillId="2" borderId="2" xfId="0" applyNumberFormat="1" applyFont="1" applyFill="1" applyBorder="1" applyAlignment="1" applyProtection="1">
      <alignment horizontal="right" vertical="center" indent="8"/>
    </xf>
    <xf numFmtId="0" fontId="1" fillId="2" borderId="4" xfId="0" applyNumberFormat="1" applyFont="1" applyFill="1" applyBorder="1" applyAlignment="1" applyProtection="1">
      <alignment horizontal="right" vertical="center" indent="8"/>
    </xf>
    <xf numFmtId="9" fontId="1" fillId="6" borderId="1" xfId="0" applyNumberFormat="1" applyFont="1" applyFill="1" applyBorder="1" applyAlignment="1" applyProtection="1">
      <alignment horizontal="center" vertical="center"/>
    </xf>
    <xf numFmtId="0" fontId="2" fillId="6" borderId="2" xfId="0" applyNumberFormat="1" applyFont="1" applyFill="1" applyBorder="1" applyAlignment="1" applyProtection="1">
      <alignment horizontal="left" vertical="center"/>
    </xf>
    <xf numFmtId="0" fontId="2" fillId="6" borderId="3" xfId="0" applyNumberFormat="1" applyFont="1" applyFill="1" applyBorder="1" applyAlignment="1" applyProtection="1">
      <alignment horizontal="left" vertical="center"/>
    </xf>
    <xf numFmtId="0" fontId="2" fillId="6" borderId="4" xfId="0" applyNumberFormat="1" applyFont="1" applyFill="1" applyBorder="1" applyAlignment="1" applyProtection="1">
      <alignment horizontal="left" vertical="center"/>
    </xf>
    <xf numFmtId="0" fontId="1" fillId="6" borderId="5" xfId="0" applyNumberFormat="1" applyFont="1" applyFill="1" applyBorder="1" applyAlignment="1" applyProtection="1">
      <alignment horizontal="right" vertical="center" indent="8"/>
    </xf>
    <xf numFmtId="0" fontId="1" fillId="6" borderId="6" xfId="0" applyNumberFormat="1" applyFont="1" applyFill="1" applyBorder="1" applyAlignment="1" applyProtection="1">
      <alignment horizontal="right" vertical="center" indent="8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3" borderId="7" xfId="0" applyNumberFormat="1" applyFont="1" applyFill="1" applyBorder="1" applyAlignment="1" applyProtection="1">
      <alignment horizontal="center" vertical="center"/>
    </xf>
    <xf numFmtId="0" fontId="3" fillId="3" borderId="0" xfId="0" applyNumberFormat="1" applyFont="1" applyFill="1" applyAlignment="1" applyProtection="1">
      <alignment horizontal="center" vertical="center"/>
    </xf>
    <xf numFmtId="0" fontId="4" fillId="4" borderId="2" xfId="0" applyNumberFormat="1" applyFont="1" applyFill="1" applyBorder="1" applyAlignment="1" applyProtection="1">
      <alignment horizontal="center" vertical="center"/>
    </xf>
    <xf numFmtId="0" fontId="4" fillId="4" borderId="3" xfId="0" applyNumberFormat="1" applyFont="1" applyFill="1" applyBorder="1" applyAlignment="1" applyProtection="1">
      <alignment horizontal="center" vertical="center"/>
    </xf>
    <xf numFmtId="0" fontId="4" fillId="4" borderId="4" xfId="0" applyNumberFormat="1" applyFont="1" applyFill="1" applyBorder="1" applyAlignment="1" applyProtection="1">
      <alignment horizontal="center" vertical="center"/>
    </xf>
    <xf numFmtId="0" fontId="4" fillId="4" borderId="7" xfId="0" applyNumberFormat="1" applyFont="1" applyFill="1" applyBorder="1" applyAlignment="1" applyProtection="1">
      <alignment horizontal="center" vertical="center"/>
    </xf>
    <xf numFmtId="0" fontId="4" fillId="4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topLeftCell="A22" zoomScale="106" zoomScaleNormal="106" workbookViewId="0">
      <selection activeCell="D36" sqref="D36"/>
    </sheetView>
  </sheetViews>
  <sheetFormatPr defaultRowHeight="15"/>
  <cols>
    <col min="1" max="1" width="6.85546875" style="1" bestFit="1" customWidth="1"/>
    <col min="2" max="2" width="10.28515625" style="1" bestFit="1" customWidth="1"/>
    <col min="3" max="3" width="38.140625" style="2" customWidth="1"/>
    <col min="4" max="4" width="7.5703125" style="1" bestFit="1" customWidth="1"/>
    <col min="5" max="5" width="8.28515625" style="1" bestFit="1" customWidth="1"/>
    <col min="6" max="6" width="13.85546875" style="1" bestFit="1" customWidth="1"/>
    <col min="7" max="7" width="10.140625" style="1" bestFit="1" customWidth="1"/>
    <col min="8" max="8" width="10.28515625" style="1" bestFit="1" customWidth="1"/>
    <col min="9" max="9" width="16.28515625" style="1" bestFit="1" customWidth="1"/>
    <col min="10" max="10" width="12.85546875" style="1" bestFit="1" customWidth="1"/>
    <col min="11" max="11" width="11.85546875" style="1" bestFit="1" customWidth="1"/>
    <col min="12" max="12" width="17.85546875" style="1" bestFit="1" customWidth="1"/>
    <col min="13" max="13" width="8.7109375" style="1" customWidth="1"/>
  </cols>
  <sheetData>
    <row r="1" spans="1:14" ht="14.45" customHeight="1">
      <c r="A1" s="45" t="s">
        <v>38</v>
      </c>
      <c r="B1" s="45"/>
      <c r="C1" s="45"/>
      <c r="D1" s="45"/>
      <c r="E1" s="45"/>
      <c r="F1" s="45"/>
      <c r="G1" s="45"/>
      <c r="H1" s="46" t="s">
        <v>1</v>
      </c>
      <c r="I1" s="47"/>
      <c r="J1" s="47"/>
      <c r="K1" s="47"/>
      <c r="L1" s="47"/>
      <c r="M1" s="47"/>
      <c r="N1" s="47"/>
    </row>
    <row r="2" spans="1:14" ht="14.45" customHeight="1">
      <c r="A2" s="45"/>
      <c r="B2" s="45"/>
      <c r="C2" s="45"/>
      <c r="D2" s="45"/>
      <c r="E2" s="45"/>
      <c r="F2" s="45"/>
      <c r="G2" s="45"/>
      <c r="H2" s="46"/>
      <c r="I2" s="47"/>
      <c r="J2" s="47"/>
      <c r="K2" s="47"/>
      <c r="L2" s="47"/>
      <c r="M2" s="47"/>
      <c r="N2" s="47"/>
    </row>
    <row r="3" spans="1:14" ht="18.95" customHeight="1">
      <c r="A3" s="48" t="s">
        <v>2</v>
      </c>
      <c r="B3" s="49"/>
      <c r="C3" s="49"/>
      <c r="D3" s="50"/>
      <c r="E3" s="48" t="s">
        <v>3</v>
      </c>
      <c r="F3" s="49"/>
      <c r="G3" s="49"/>
      <c r="H3" s="49"/>
      <c r="I3" s="50"/>
      <c r="J3" s="51" t="s">
        <v>4</v>
      </c>
      <c r="K3" s="52"/>
      <c r="L3" s="52"/>
      <c r="M3" s="52"/>
      <c r="N3" s="52"/>
    </row>
    <row r="4" spans="1:14" ht="15" customHeight="1">
      <c r="A4" s="18" t="s">
        <v>5</v>
      </c>
      <c r="B4" s="18"/>
      <c r="C4" s="33" t="s">
        <v>0</v>
      </c>
      <c r="D4" s="33"/>
      <c r="E4" s="40" t="s">
        <v>6</v>
      </c>
      <c r="F4" s="41"/>
      <c r="G4" s="42"/>
      <c r="H4" s="43">
        <f>SUM(L12:L80)</f>
        <v>47.5</v>
      </c>
      <c r="I4" s="44"/>
      <c r="J4" s="30" t="s">
        <v>7</v>
      </c>
      <c r="K4" s="30"/>
      <c r="L4" s="30"/>
      <c r="M4" s="39">
        <v>0.6</v>
      </c>
      <c r="N4" s="39"/>
    </row>
    <row r="5" spans="1:14" ht="15" customHeight="1">
      <c r="A5" s="18" t="s">
        <v>8</v>
      </c>
      <c r="B5" s="18"/>
      <c r="C5" s="32" t="s">
        <v>39</v>
      </c>
      <c r="D5" s="33"/>
      <c r="E5" s="34" t="s">
        <v>9</v>
      </c>
      <c r="F5" s="35"/>
      <c r="G5" s="36"/>
      <c r="H5" s="37">
        <f>$H$4-$H$6</f>
        <v>37</v>
      </c>
      <c r="I5" s="38"/>
      <c r="J5" s="30" t="s">
        <v>10</v>
      </c>
      <c r="K5" s="30"/>
      <c r="L5" s="30"/>
      <c r="M5" s="29">
        <v>480</v>
      </c>
      <c r="N5" s="29"/>
    </row>
    <row r="6" spans="1:14" ht="15" customHeight="1">
      <c r="A6" s="18" t="s">
        <v>11</v>
      </c>
      <c r="B6" s="18"/>
      <c r="C6" s="32" t="s">
        <v>40</v>
      </c>
      <c r="D6" s="33"/>
      <c r="E6" s="34" t="s">
        <v>12</v>
      </c>
      <c r="F6" s="35"/>
      <c r="G6" s="36"/>
      <c r="H6" s="37">
        <f>SUMIFS(L12:L80,N12:N80,"Yes")</f>
        <v>10.5</v>
      </c>
      <c r="I6" s="38"/>
      <c r="J6" s="30" t="s">
        <v>13</v>
      </c>
      <c r="K6" s="19"/>
      <c r="L6" s="19"/>
      <c r="M6" s="29">
        <f>ROUND(M5/C8*H8,0)</f>
        <v>639</v>
      </c>
      <c r="N6" s="29"/>
    </row>
    <row r="7" spans="1:14" ht="15" customHeight="1">
      <c r="A7" s="30" t="s">
        <v>14</v>
      </c>
      <c r="B7" s="30"/>
      <c r="C7" s="31">
        <v>34.356999999999999</v>
      </c>
      <c r="D7" s="31"/>
      <c r="E7" s="26" t="s">
        <v>15</v>
      </c>
      <c r="F7" s="27"/>
      <c r="G7" s="28"/>
      <c r="H7" s="16">
        <f>SUM(K12:K80)</f>
        <v>45.747</v>
      </c>
      <c r="I7" s="17"/>
      <c r="J7" s="30" t="s">
        <v>16</v>
      </c>
      <c r="K7" s="30"/>
      <c r="L7" s="30"/>
      <c r="M7" s="29">
        <f>ROUND(M6*M4,0)</f>
        <v>383</v>
      </c>
      <c r="N7" s="29"/>
    </row>
    <row r="8" spans="1:14" ht="15" customHeight="1">
      <c r="A8" s="4" t="s">
        <v>17</v>
      </c>
      <c r="B8" s="4"/>
      <c r="C8" s="14">
        <v>27.04</v>
      </c>
      <c r="D8" s="15"/>
      <c r="E8" s="26" t="s">
        <v>18</v>
      </c>
      <c r="F8" s="27"/>
      <c r="G8" s="28"/>
      <c r="H8" s="16">
        <v>36</v>
      </c>
      <c r="I8" s="17"/>
      <c r="J8" s="18" t="s">
        <v>19</v>
      </c>
      <c r="K8" s="19"/>
      <c r="L8" s="19"/>
      <c r="M8" s="20">
        <f>ROUND((M6/(M5/60)),0)</f>
        <v>80</v>
      </c>
      <c r="N8" s="20"/>
    </row>
    <row r="9" spans="1:14" ht="15" customHeight="1">
      <c r="A9" s="4" t="s">
        <v>20</v>
      </c>
      <c r="B9" s="4"/>
      <c r="C9" s="14">
        <v>7.3170000000000002</v>
      </c>
      <c r="D9" s="15"/>
      <c r="E9" s="5" t="s">
        <v>21</v>
      </c>
      <c r="F9" s="6"/>
      <c r="G9" s="7"/>
      <c r="H9" s="16">
        <f>SUMIFS(K12:K80,N12:N80,"Yes")</f>
        <v>9.7430000000000003</v>
      </c>
      <c r="I9" s="17"/>
      <c r="J9" s="18" t="s">
        <v>22</v>
      </c>
      <c r="K9" s="19"/>
      <c r="L9" s="19"/>
      <c r="M9" s="20">
        <f>ROUND(M8*M4,0)</f>
        <v>48</v>
      </c>
      <c r="N9" s="20"/>
    </row>
    <row r="10" spans="1:14" ht="15" customHeight="1">
      <c r="E10" s="21" t="s">
        <v>23</v>
      </c>
      <c r="F10" s="22"/>
      <c r="G10" s="23"/>
      <c r="H10" s="24" t="s">
        <v>24</v>
      </c>
      <c r="I10" s="25"/>
      <c r="J10" s="18" t="s">
        <v>25</v>
      </c>
      <c r="K10" s="19"/>
      <c r="L10" s="19"/>
      <c r="M10" s="20" t="s">
        <v>41</v>
      </c>
      <c r="N10" s="20"/>
    </row>
    <row r="11" spans="1:14" ht="15" customHeight="1">
      <c r="A11" s="8" t="s">
        <v>26</v>
      </c>
      <c r="B11" s="8" t="s">
        <v>27</v>
      </c>
      <c r="C11" s="3" t="s">
        <v>11</v>
      </c>
      <c r="D11" s="8" t="s">
        <v>14</v>
      </c>
      <c r="E11" s="8" t="s">
        <v>28</v>
      </c>
      <c r="F11" s="8" t="s">
        <v>29</v>
      </c>
      <c r="G11" s="8" t="s">
        <v>30</v>
      </c>
      <c r="H11" s="8" t="s">
        <v>31</v>
      </c>
      <c r="I11" s="8" t="s">
        <v>32</v>
      </c>
      <c r="J11" s="8" t="s">
        <v>33</v>
      </c>
      <c r="K11" s="9" t="s">
        <v>34</v>
      </c>
      <c r="L11" s="9" t="s">
        <v>35</v>
      </c>
      <c r="M11" s="8" t="s">
        <v>36</v>
      </c>
      <c r="N11" s="8" t="s">
        <v>37</v>
      </c>
    </row>
    <row r="12" spans="1:14">
      <c r="A12" s="1">
        <v>1</v>
      </c>
      <c r="B12" s="1">
        <v>308</v>
      </c>
      <c r="C12" s="2" t="s">
        <v>42</v>
      </c>
      <c r="D12" s="1">
        <v>0.57199999999999995</v>
      </c>
      <c r="E12" s="1" t="s">
        <v>43</v>
      </c>
      <c r="F12" s="1" t="s">
        <v>44</v>
      </c>
      <c r="G12" s="1" t="s">
        <v>45</v>
      </c>
      <c r="H12" s="1" t="s">
        <v>46</v>
      </c>
      <c r="I12" s="1">
        <f t="shared" ref="I12:I43" si="0">ROUND($M$5/D12,0)</f>
        <v>839</v>
      </c>
      <c r="J12" s="1">
        <f t="shared" ref="J12:J43" si="1">ROUND(60/D12,0)</f>
        <v>105</v>
      </c>
      <c r="K12" s="1">
        <f>IF(J12=0,0,ROUND(79.882/104.895,3))</f>
        <v>0.76200000000000001</v>
      </c>
      <c r="L12" s="1">
        <f t="shared" ref="L12:L43" si="2">IF(AND(K12&gt;-0.1,K12&lt;=0.75),0.5,IF(AND(K12&gt;0.75,K12&lt;=1.25),1,IF(AND(K12&gt;1.25,K12&lt;=1.75),1.5,IF(AND(K12&gt;1.75,K12&lt;=2.25),2,IF(AND(K12&gt;2.25,K12&lt;=2.75),2.5,IF(AND(K12&gt;2.75,K12&lt;=3.25),3,IF(AND(K12&gt;3.25,K12&lt;=3.75),3.5,IF(AND(K12&gt;3.75,K12&lt;=4.25),4,IF(AND(K12&gt;4.25,K12&lt;=4.75),4.5,IF(AND(K12&gt;4.75,K12&lt;=5.25),5,IF(AND(K12&gt;5.25,K12&lt;=5.75),5.5,IF(AND(K12&gt;5.75,K12&lt;=6.25),6,IF(AND(K12&gt;6.25,K12&lt;=6.75),6.5,IF(AND(K12&gt;6.75,K12&lt;=7.25),7,IF(AND(K12&gt;7.25,K12&lt;=7.75),7.5,IF(AND(K12&gt;7.75,K12&lt;=8.25),8,IF(AND(K12&gt;8.25,K12&lt;=8.75),8.5,IF(AND(K12&gt;8.75,K12&lt;=9.25),9,IF(AND(K12&gt;9.25,K12&lt;=9.75),9.5,IF(AND(K12&gt;9.75,K12&lt;=10.25),10,11))))))))))))))))))))</f>
        <v>1</v>
      </c>
      <c r="M12" s="1" t="s">
        <v>47</v>
      </c>
      <c r="N12" t="s">
        <v>48</v>
      </c>
    </row>
    <row r="13" spans="1:14">
      <c r="A13" s="1">
        <v>2</v>
      </c>
      <c r="B13" s="1">
        <v>244</v>
      </c>
      <c r="C13" s="2" t="s">
        <v>49</v>
      </c>
      <c r="D13" s="1">
        <v>0.26</v>
      </c>
      <c r="E13" s="1" t="s">
        <v>43</v>
      </c>
      <c r="F13" s="1" t="s">
        <v>44</v>
      </c>
      <c r="G13" s="1" t="s">
        <v>47</v>
      </c>
      <c r="H13" s="1" t="s">
        <v>50</v>
      </c>
      <c r="I13" s="1">
        <f t="shared" si="0"/>
        <v>1846</v>
      </c>
      <c r="J13" s="1">
        <f t="shared" si="1"/>
        <v>231</v>
      </c>
      <c r="K13" s="1">
        <f>IF(J13=0,0,ROUND(79.882/230.769,3))</f>
        <v>0.34599999999999997</v>
      </c>
      <c r="L13" s="1">
        <f t="shared" si="2"/>
        <v>0.5</v>
      </c>
      <c r="M13" s="1" t="s">
        <v>47</v>
      </c>
      <c r="N13" t="s">
        <v>48</v>
      </c>
    </row>
    <row r="14" spans="1:14">
      <c r="A14" s="1">
        <v>3</v>
      </c>
      <c r="B14" s="1">
        <v>245</v>
      </c>
      <c r="C14" s="2" t="s">
        <v>51</v>
      </c>
      <c r="D14" s="1">
        <v>0.43099999999999999</v>
      </c>
      <c r="E14" s="1" t="s">
        <v>43</v>
      </c>
      <c r="F14" s="1" t="s">
        <v>44</v>
      </c>
      <c r="G14" s="1" t="s">
        <v>47</v>
      </c>
      <c r="H14" s="1" t="s">
        <v>52</v>
      </c>
      <c r="I14" s="1">
        <f t="shared" si="0"/>
        <v>1114</v>
      </c>
      <c r="J14" s="1">
        <f t="shared" si="1"/>
        <v>139</v>
      </c>
      <c r="K14" s="1">
        <f>IF(J14=0,0,ROUND(79.882/139.211,3))</f>
        <v>0.57399999999999995</v>
      </c>
      <c r="L14" s="1">
        <f t="shared" si="2"/>
        <v>0.5</v>
      </c>
      <c r="M14" s="1" t="s">
        <v>47</v>
      </c>
      <c r="N14" t="s">
        <v>53</v>
      </c>
    </row>
    <row r="15" spans="1:14">
      <c r="A15" s="1">
        <v>4</v>
      </c>
      <c r="B15" s="1">
        <v>956</v>
      </c>
      <c r="C15" s="2" t="s">
        <v>54</v>
      </c>
      <c r="D15" s="1">
        <v>0.38900000000000001</v>
      </c>
      <c r="E15" s="1" t="s">
        <v>43</v>
      </c>
      <c r="F15" s="1" t="s">
        <v>44</v>
      </c>
      <c r="G15" s="1" t="s">
        <v>55</v>
      </c>
      <c r="H15" s="1" t="s">
        <v>46</v>
      </c>
      <c r="I15" s="1">
        <f t="shared" si="0"/>
        <v>1234</v>
      </c>
      <c r="J15" s="1">
        <f t="shared" si="1"/>
        <v>154</v>
      </c>
      <c r="K15" s="1">
        <f>IF(J15=0,0,ROUND(79.882/154.242,3))</f>
        <v>0.51800000000000002</v>
      </c>
      <c r="L15" s="1">
        <f t="shared" si="2"/>
        <v>0.5</v>
      </c>
      <c r="M15" s="1" t="s">
        <v>47</v>
      </c>
      <c r="N15" t="s">
        <v>48</v>
      </c>
    </row>
    <row r="16" spans="1:14">
      <c r="A16" s="1">
        <v>5</v>
      </c>
      <c r="B16" s="1">
        <v>191</v>
      </c>
      <c r="C16" s="2" t="s">
        <v>56</v>
      </c>
      <c r="D16" s="1">
        <v>0.22600000000000001</v>
      </c>
      <c r="E16" s="1" t="s">
        <v>43</v>
      </c>
      <c r="F16" s="1" t="s">
        <v>44</v>
      </c>
      <c r="G16" s="1" t="s">
        <v>47</v>
      </c>
      <c r="H16" s="1" t="s">
        <v>50</v>
      </c>
      <c r="I16" s="1">
        <f t="shared" si="0"/>
        <v>2124</v>
      </c>
      <c r="J16" s="1">
        <f t="shared" si="1"/>
        <v>265</v>
      </c>
      <c r="K16" s="1">
        <f>IF(J16=0,0,ROUND(79.882/265.487,3))</f>
        <v>0.30099999999999999</v>
      </c>
      <c r="L16" s="1">
        <f t="shared" si="2"/>
        <v>0.5</v>
      </c>
      <c r="M16" s="1" t="s">
        <v>47</v>
      </c>
      <c r="N16" t="s">
        <v>48</v>
      </c>
    </row>
    <row r="17" spans="1:14">
      <c r="A17" s="1">
        <v>6</v>
      </c>
      <c r="B17" s="1">
        <v>1269</v>
      </c>
      <c r="C17" s="2" t="s">
        <v>57</v>
      </c>
      <c r="D17" s="1">
        <v>0.32</v>
      </c>
      <c r="E17" s="1" t="s">
        <v>43</v>
      </c>
      <c r="F17" s="1" t="s">
        <v>44</v>
      </c>
      <c r="G17" s="1" t="s">
        <v>47</v>
      </c>
      <c r="H17" s="1" t="s">
        <v>52</v>
      </c>
      <c r="I17" s="1">
        <f t="shared" si="0"/>
        <v>1500</v>
      </c>
      <c r="J17" s="1">
        <f t="shared" si="1"/>
        <v>188</v>
      </c>
      <c r="K17" s="1">
        <f>IF(J17=0,0,ROUND(79.882/187.5,3))</f>
        <v>0.42599999999999999</v>
      </c>
      <c r="L17" s="1">
        <f t="shared" si="2"/>
        <v>0.5</v>
      </c>
      <c r="M17" s="1" t="s">
        <v>47</v>
      </c>
      <c r="N17" t="s">
        <v>53</v>
      </c>
    </row>
    <row r="18" spans="1:14">
      <c r="A18" s="1">
        <v>7</v>
      </c>
      <c r="B18" s="1">
        <v>11</v>
      </c>
      <c r="C18" s="2" t="s">
        <v>58</v>
      </c>
      <c r="D18" s="1">
        <v>0.68600000000000005</v>
      </c>
      <c r="E18" s="1" t="s">
        <v>43</v>
      </c>
      <c r="F18" s="1" t="s">
        <v>44</v>
      </c>
      <c r="G18" s="1" t="s">
        <v>47</v>
      </c>
      <c r="H18" s="1" t="s">
        <v>50</v>
      </c>
      <c r="I18" s="1">
        <f t="shared" si="0"/>
        <v>700</v>
      </c>
      <c r="J18" s="1">
        <f t="shared" si="1"/>
        <v>87</v>
      </c>
      <c r="K18" s="1">
        <f>IF(J18=0,0,ROUND(79.882/87.464,3))</f>
        <v>0.91300000000000003</v>
      </c>
      <c r="L18" s="1">
        <f t="shared" si="2"/>
        <v>1</v>
      </c>
      <c r="M18" s="1" t="s">
        <v>47</v>
      </c>
      <c r="N18" t="s">
        <v>48</v>
      </c>
    </row>
    <row r="19" spans="1:14">
      <c r="A19" s="1">
        <v>8</v>
      </c>
      <c r="B19" s="1">
        <v>963</v>
      </c>
      <c r="C19" s="2" t="s">
        <v>59</v>
      </c>
      <c r="D19" s="1">
        <v>0.26800000000000002</v>
      </c>
      <c r="E19" s="1" t="s">
        <v>43</v>
      </c>
      <c r="F19" s="1" t="s">
        <v>44</v>
      </c>
      <c r="G19" s="1" t="s">
        <v>47</v>
      </c>
      <c r="H19" s="1" t="s">
        <v>52</v>
      </c>
      <c r="I19" s="1">
        <f t="shared" si="0"/>
        <v>1791</v>
      </c>
      <c r="J19" s="1">
        <f t="shared" si="1"/>
        <v>224</v>
      </c>
      <c r="K19" s="1">
        <f>IF(J19=0,0,ROUND(79.882/223.881,3))</f>
        <v>0.35699999999999998</v>
      </c>
      <c r="L19" s="1">
        <f t="shared" si="2"/>
        <v>0.5</v>
      </c>
      <c r="M19" s="1" t="s">
        <v>47</v>
      </c>
      <c r="N19" t="s">
        <v>53</v>
      </c>
    </row>
    <row r="20" spans="1:14">
      <c r="A20" s="1">
        <v>9</v>
      </c>
      <c r="B20" s="1">
        <v>14</v>
      </c>
      <c r="C20" s="2" t="s">
        <v>60</v>
      </c>
      <c r="D20" s="1">
        <v>0.51200000000000001</v>
      </c>
      <c r="E20" s="1" t="s">
        <v>43</v>
      </c>
      <c r="F20" s="1" t="s">
        <v>44</v>
      </c>
      <c r="G20" s="1" t="s">
        <v>61</v>
      </c>
      <c r="H20" s="1" t="s">
        <v>52</v>
      </c>
      <c r="I20" s="1">
        <f t="shared" si="0"/>
        <v>938</v>
      </c>
      <c r="J20" s="1">
        <f t="shared" si="1"/>
        <v>117</v>
      </c>
      <c r="K20" s="1">
        <f>IF(J20=0,0,ROUND(79.882/117.188,3))</f>
        <v>0.68200000000000005</v>
      </c>
      <c r="L20" s="1">
        <f t="shared" si="2"/>
        <v>0.5</v>
      </c>
      <c r="M20" s="1" t="s">
        <v>47</v>
      </c>
      <c r="N20" t="s">
        <v>53</v>
      </c>
    </row>
    <row r="21" spans="1:14">
      <c r="A21" s="1">
        <v>10</v>
      </c>
      <c r="B21" s="1">
        <v>15</v>
      </c>
      <c r="C21" s="2" t="s">
        <v>62</v>
      </c>
      <c r="D21" s="1">
        <v>0.66300000000000003</v>
      </c>
      <c r="E21" s="1" t="s">
        <v>63</v>
      </c>
      <c r="F21" s="1" t="s">
        <v>64</v>
      </c>
      <c r="G21" s="1" t="s">
        <v>65</v>
      </c>
      <c r="H21" s="1" t="s">
        <v>52</v>
      </c>
      <c r="I21" s="1">
        <f t="shared" si="0"/>
        <v>724</v>
      </c>
      <c r="J21" s="1">
        <f t="shared" si="1"/>
        <v>90</v>
      </c>
      <c r="K21" s="1">
        <f>IF(J21=0,0,ROUND(79.882/90.498,3))</f>
        <v>0.88300000000000001</v>
      </c>
      <c r="L21" s="1">
        <f t="shared" si="2"/>
        <v>1</v>
      </c>
      <c r="M21" s="1" t="s">
        <v>47</v>
      </c>
      <c r="N21" t="s">
        <v>53</v>
      </c>
    </row>
    <row r="22" spans="1:14">
      <c r="A22" s="1">
        <v>11</v>
      </c>
      <c r="B22" s="1">
        <v>2456</v>
      </c>
      <c r="C22" s="2" t="s">
        <v>66</v>
      </c>
      <c r="D22" s="1">
        <v>0.84899999999999998</v>
      </c>
      <c r="E22" s="1" t="s">
        <v>43</v>
      </c>
      <c r="F22" s="1" t="s">
        <v>64</v>
      </c>
      <c r="G22" s="1" t="s">
        <v>47</v>
      </c>
      <c r="H22" s="1" t="s">
        <v>50</v>
      </c>
      <c r="I22" s="1">
        <f t="shared" si="0"/>
        <v>565</v>
      </c>
      <c r="J22" s="1">
        <f t="shared" si="1"/>
        <v>71</v>
      </c>
      <c r="K22" s="1">
        <f>IF(J22=0,0,ROUND(79.882/70.671,3))</f>
        <v>1.1299999999999999</v>
      </c>
      <c r="L22" s="1">
        <f t="shared" si="2"/>
        <v>1</v>
      </c>
      <c r="M22" s="1" t="s">
        <v>47</v>
      </c>
      <c r="N22" t="s">
        <v>48</v>
      </c>
    </row>
    <row r="23" spans="1:14">
      <c r="A23" s="1">
        <v>12</v>
      </c>
      <c r="B23" s="1">
        <v>19</v>
      </c>
      <c r="C23" s="2" t="s">
        <v>67</v>
      </c>
      <c r="D23" s="1">
        <v>0.51200000000000001</v>
      </c>
      <c r="E23" s="1" t="s">
        <v>43</v>
      </c>
      <c r="F23" s="1" t="s">
        <v>68</v>
      </c>
      <c r="G23" s="1" t="s">
        <v>61</v>
      </c>
      <c r="H23" s="1" t="s">
        <v>69</v>
      </c>
      <c r="I23" s="1">
        <f t="shared" si="0"/>
        <v>938</v>
      </c>
      <c r="J23" s="1">
        <f t="shared" si="1"/>
        <v>117</v>
      </c>
      <c r="K23" s="1">
        <f>IF(J23=0,0,ROUND(79.882/117.188,3))</f>
        <v>0.68200000000000005</v>
      </c>
      <c r="L23" s="1">
        <f t="shared" si="2"/>
        <v>0.5</v>
      </c>
      <c r="M23" s="1" t="s">
        <v>47</v>
      </c>
      <c r="N23" t="s">
        <v>53</v>
      </c>
    </row>
    <row r="24" spans="1:14">
      <c r="A24" s="1">
        <v>13</v>
      </c>
      <c r="B24" s="1">
        <v>20</v>
      </c>
      <c r="C24" s="2" t="s">
        <v>70</v>
      </c>
      <c r="D24" s="1">
        <v>0.79200000000000004</v>
      </c>
      <c r="E24" s="1" t="s">
        <v>43</v>
      </c>
      <c r="F24" s="1" t="s">
        <v>68</v>
      </c>
      <c r="G24" s="1" t="s">
        <v>65</v>
      </c>
      <c r="H24" s="1" t="s">
        <v>52</v>
      </c>
      <c r="I24" s="1">
        <f t="shared" si="0"/>
        <v>606</v>
      </c>
      <c r="J24" s="1">
        <f t="shared" si="1"/>
        <v>76</v>
      </c>
      <c r="K24" s="1">
        <f>IF(J24=0,0,ROUND(79.882/75.758,3))</f>
        <v>1.054</v>
      </c>
      <c r="L24" s="1">
        <f t="shared" si="2"/>
        <v>1</v>
      </c>
      <c r="M24" s="1" t="s">
        <v>47</v>
      </c>
      <c r="N24" t="s">
        <v>53</v>
      </c>
    </row>
    <row r="25" spans="1:14">
      <c r="A25" s="1">
        <v>14</v>
      </c>
      <c r="B25" s="1">
        <v>15664</v>
      </c>
      <c r="C25" s="2" t="s">
        <v>71</v>
      </c>
      <c r="D25" s="1">
        <v>0.36</v>
      </c>
      <c r="E25" s="1" t="s">
        <v>63</v>
      </c>
      <c r="F25" s="1" t="s">
        <v>64</v>
      </c>
      <c r="G25" s="1" t="s">
        <v>47</v>
      </c>
      <c r="H25" s="1" t="s">
        <v>52</v>
      </c>
      <c r="I25" s="1">
        <f t="shared" si="0"/>
        <v>1333</v>
      </c>
      <c r="J25" s="1">
        <f t="shared" si="1"/>
        <v>167</v>
      </c>
      <c r="K25" s="1">
        <f>IF(J25=0,0,ROUND(79.882/166.667,3))</f>
        <v>0.47899999999999998</v>
      </c>
      <c r="L25" s="1">
        <f t="shared" si="2"/>
        <v>0.5</v>
      </c>
      <c r="M25" s="1" t="s">
        <v>47</v>
      </c>
      <c r="N25" t="s">
        <v>53</v>
      </c>
    </row>
    <row r="26" spans="1:14">
      <c r="A26" s="1">
        <v>15</v>
      </c>
      <c r="B26" s="1">
        <v>22</v>
      </c>
      <c r="C26" s="2" t="s">
        <v>72</v>
      </c>
      <c r="D26" s="1">
        <v>0.41199999999999998</v>
      </c>
      <c r="E26" s="1" t="s">
        <v>43</v>
      </c>
      <c r="F26" s="1" t="s">
        <v>68</v>
      </c>
      <c r="G26" s="1" t="s">
        <v>47</v>
      </c>
      <c r="H26" s="1" t="s">
        <v>46</v>
      </c>
      <c r="I26" s="1">
        <f t="shared" si="0"/>
        <v>1165</v>
      </c>
      <c r="J26" s="1">
        <f t="shared" si="1"/>
        <v>146</v>
      </c>
      <c r="K26" s="1">
        <f>IF(J26=0,0,ROUND(79.882/145.631,3))</f>
        <v>0.54900000000000004</v>
      </c>
      <c r="L26" s="1">
        <f t="shared" si="2"/>
        <v>0.5</v>
      </c>
      <c r="M26" s="1" t="s">
        <v>47</v>
      </c>
      <c r="N26" t="s">
        <v>48</v>
      </c>
    </row>
    <row r="27" spans="1:14">
      <c r="A27" s="1">
        <v>16</v>
      </c>
      <c r="B27" s="1">
        <v>852</v>
      </c>
      <c r="C27" s="2" t="s">
        <v>73</v>
      </c>
      <c r="D27" s="1">
        <v>0.34</v>
      </c>
      <c r="E27" s="1" t="s">
        <v>63</v>
      </c>
      <c r="F27" s="1" t="s">
        <v>68</v>
      </c>
      <c r="G27" s="1" t="s">
        <v>74</v>
      </c>
      <c r="H27" s="1" t="s">
        <v>75</v>
      </c>
      <c r="I27" s="1">
        <f t="shared" si="0"/>
        <v>1412</v>
      </c>
      <c r="J27" s="1">
        <f t="shared" si="1"/>
        <v>176</v>
      </c>
      <c r="K27" s="1">
        <f>IF(J27=0,0,ROUND(79.882/176.471,3))</f>
        <v>0.45300000000000001</v>
      </c>
      <c r="L27" s="1">
        <f t="shared" si="2"/>
        <v>0.5</v>
      </c>
      <c r="M27" s="1" t="s">
        <v>47</v>
      </c>
      <c r="N27" t="s">
        <v>48</v>
      </c>
    </row>
    <row r="28" spans="1:14">
      <c r="A28" s="1">
        <v>17</v>
      </c>
      <c r="B28" s="1">
        <v>23</v>
      </c>
      <c r="C28" s="2" t="s">
        <v>76</v>
      </c>
      <c r="D28" s="1">
        <v>0.41199999999999998</v>
      </c>
      <c r="E28" s="1" t="s">
        <v>43</v>
      </c>
      <c r="F28" s="1" t="s">
        <v>68</v>
      </c>
      <c r="G28" s="1" t="s">
        <v>77</v>
      </c>
      <c r="H28" s="1" t="s">
        <v>46</v>
      </c>
      <c r="I28" s="1">
        <f t="shared" si="0"/>
        <v>1165</v>
      </c>
      <c r="J28" s="1">
        <f t="shared" si="1"/>
        <v>146</v>
      </c>
      <c r="K28" s="1">
        <f>IF(J28=0,0,ROUND(79.882/145.631,3))</f>
        <v>0.54900000000000004</v>
      </c>
      <c r="L28" s="1">
        <f t="shared" si="2"/>
        <v>0.5</v>
      </c>
      <c r="M28" s="1" t="s">
        <v>47</v>
      </c>
      <c r="N28" t="s">
        <v>48</v>
      </c>
    </row>
    <row r="29" spans="1:14">
      <c r="A29" s="1">
        <v>18</v>
      </c>
      <c r="B29" s="1">
        <v>204</v>
      </c>
      <c r="C29" s="2" t="s">
        <v>78</v>
      </c>
      <c r="D29" s="1">
        <v>0.53700000000000003</v>
      </c>
      <c r="E29" s="1" t="s">
        <v>43</v>
      </c>
      <c r="F29" s="1" t="s">
        <v>68</v>
      </c>
      <c r="G29" s="1" t="s">
        <v>47</v>
      </c>
      <c r="H29" s="1" t="s">
        <v>75</v>
      </c>
      <c r="I29" s="1">
        <f t="shared" si="0"/>
        <v>894</v>
      </c>
      <c r="J29" s="1">
        <f t="shared" si="1"/>
        <v>112</v>
      </c>
      <c r="K29" s="1">
        <f>IF(J29=0,0,ROUND(79.882/111.732,3))</f>
        <v>0.71499999999999997</v>
      </c>
      <c r="L29" s="1">
        <f t="shared" si="2"/>
        <v>0.5</v>
      </c>
      <c r="M29" s="1" t="s">
        <v>47</v>
      </c>
      <c r="N29" t="s">
        <v>48</v>
      </c>
    </row>
    <row r="30" spans="1:14">
      <c r="A30" s="1">
        <v>19</v>
      </c>
      <c r="B30" s="1">
        <v>851</v>
      </c>
      <c r="C30" s="2" t="s">
        <v>79</v>
      </c>
      <c r="D30" s="1">
        <v>0.34</v>
      </c>
      <c r="E30" s="1" t="s">
        <v>63</v>
      </c>
      <c r="F30" s="1" t="s">
        <v>68</v>
      </c>
      <c r="G30" s="1" t="s">
        <v>74</v>
      </c>
      <c r="H30" s="1" t="s">
        <v>75</v>
      </c>
      <c r="I30" s="1">
        <f t="shared" si="0"/>
        <v>1412</v>
      </c>
      <c r="J30" s="1">
        <f t="shared" si="1"/>
        <v>176</v>
      </c>
      <c r="K30" s="1">
        <f>IF(J30=0,0,ROUND(79.882/176.471,3))</f>
        <v>0.45300000000000001</v>
      </c>
      <c r="L30" s="1">
        <f t="shared" si="2"/>
        <v>0.5</v>
      </c>
      <c r="M30" s="1" t="s">
        <v>47</v>
      </c>
      <c r="N30" t="s">
        <v>48</v>
      </c>
    </row>
    <row r="31" spans="1:14">
      <c r="A31" s="1">
        <v>20</v>
      </c>
      <c r="B31" s="1">
        <v>548</v>
      </c>
      <c r="C31" s="2" t="s">
        <v>80</v>
      </c>
      <c r="D31" s="1">
        <v>0.56000000000000005</v>
      </c>
      <c r="E31" s="1" t="s">
        <v>43</v>
      </c>
      <c r="F31" s="1" t="s">
        <v>68</v>
      </c>
      <c r="G31" s="1" t="s">
        <v>81</v>
      </c>
      <c r="H31" s="1" t="s">
        <v>46</v>
      </c>
      <c r="I31" s="1">
        <f t="shared" si="0"/>
        <v>857</v>
      </c>
      <c r="J31" s="1">
        <f t="shared" si="1"/>
        <v>107</v>
      </c>
      <c r="K31" s="1">
        <f>IF(J31=0,0,ROUND(79.882/107.143,3))</f>
        <v>0.746</v>
      </c>
      <c r="L31" s="1">
        <f t="shared" si="2"/>
        <v>0.5</v>
      </c>
      <c r="M31" s="1" t="s">
        <v>47</v>
      </c>
      <c r="N31" t="s">
        <v>48</v>
      </c>
    </row>
    <row r="32" spans="1:14">
      <c r="A32" s="1">
        <v>21</v>
      </c>
      <c r="B32" s="1">
        <v>24</v>
      </c>
      <c r="C32" s="2" t="s">
        <v>82</v>
      </c>
      <c r="D32" s="1">
        <v>0.93799999999999994</v>
      </c>
      <c r="E32" s="1" t="s">
        <v>43</v>
      </c>
      <c r="F32" s="1" t="s">
        <v>68</v>
      </c>
      <c r="G32" s="1" t="s">
        <v>77</v>
      </c>
      <c r="H32" s="1" t="s">
        <v>46</v>
      </c>
      <c r="I32" s="1">
        <f t="shared" si="0"/>
        <v>512</v>
      </c>
      <c r="J32" s="1">
        <f t="shared" si="1"/>
        <v>64</v>
      </c>
      <c r="K32" s="1">
        <f>IF(J32=0,0,ROUND(79.882/63.966,3))</f>
        <v>1.2490000000000001</v>
      </c>
      <c r="L32" s="1">
        <f t="shared" si="2"/>
        <v>1</v>
      </c>
      <c r="M32" s="1" t="s">
        <v>47</v>
      </c>
      <c r="N32" t="s">
        <v>48</v>
      </c>
    </row>
    <row r="33" spans="1:14">
      <c r="A33" s="1">
        <v>22</v>
      </c>
      <c r="B33" s="1">
        <v>273</v>
      </c>
      <c r="C33" s="2" t="s">
        <v>83</v>
      </c>
      <c r="D33" s="1">
        <v>0.46400000000000002</v>
      </c>
      <c r="E33" s="1" t="s">
        <v>43</v>
      </c>
      <c r="F33" s="1" t="s">
        <v>68</v>
      </c>
      <c r="G33" s="1" t="s">
        <v>47</v>
      </c>
      <c r="H33" s="1" t="s">
        <v>75</v>
      </c>
      <c r="I33" s="1">
        <f t="shared" si="0"/>
        <v>1034</v>
      </c>
      <c r="J33" s="1">
        <f t="shared" si="1"/>
        <v>129</v>
      </c>
      <c r="K33" s="1">
        <f>IF(J33=0,0,ROUND(79.882/129.31,3))</f>
        <v>0.61799999999999999</v>
      </c>
      <c r="L33" s="1">
        <f t="shared" si="2"/>
        <v>0.5</v>
      </c>
      <c r="M33" s="1" t="s">
        <v>47</v>
      </c>
      <c r="N33" t="s">
        <v>48</v>
      </c>
    </row>
    <row r="34" spans="1:14">
      <c r="A34" s="1">
        <v>23</v>
      </c>
      <c r="B34" s="1">
        <v>377</v>
      </c>
      <c r="C34" s="2" t="s">
        <v>84</v>
      </c>
      <c r="D34" s="1">
        <v>0.6</v>
      </c>
      <c r="E34" s="1" t="s">
        <v>63</v>
      </c>
      <c r="F34" s="1" t="s">
        <v>85</v>
      </c>
      <c r="G34" s="1" t="s">
        <v>65</v>
      </c>
      <c r="H34" s="1" t="s">
        <v>52</v>
      </c>
      <c r="I34" s="1">
        <f t="shared" si="0"/>
        <v>800</v>
      </c>
      <c r="J34" s="1">
        <f t="shared" si="1"/>
        <v>100</v>
      </c>
      <c r="K34" s="1">
        <f>IF(J34=0,0,ROUND(79.882/100,3))</f>
        <v>0.79900000000000004</v>
      </c>
      <c r="L34" s="1">
        <f t="shared" si="2"/>
        <v>1</v>
      </c>
      <c r="M34" s="1" t="s">
        <v>47</v>
      </c>
      <c r="N34" t="s">
        <v>53</v>
      </c>
    </row>
    <row r="35" spans="1:14">
      <c r="A35" s="1">
        <v>24</v>
      </c>
      <c r="B35" s="1">
        <v>378</v>
      </c>
      <c r="C35" s="2" t="s">
        <v>86</v>
      </c>
      <c r="D35" s="1">
        <v>0.36</v>
      </c>
      <c r="E35" s="1" t="s">
        <v>63</v>
      </c>
      <c r="F35" s="1" t="s">
        <v>85</v>
      </c>
      <c r="G35" s="1" t="s">
        <v>87</v>
      </c>
      <c r="H35" s="1" t="s">
        <v>46</v>
      </c>
      <c r="I35" s="1">
        <f t="shared" si="0"/>
        <v>1333</v>
      </c>
      <c r="J35" s="1">
        <f t="shared" si="1"/>
        <v>167</v>
      </c>
      <c r="K35" s="1">
        <f>IF(J35=0,0,ROUND(79.882/166.667,3))</f>
        <v>0.47899999999999998</v>
      </c>
      <c r="L35" s="1">
        <f t="shared" si="2"/>
        <v>0.5</v>
      </c>
      <c r="M35" s="1" t="s">
        <v>47</v>
      </c>
      <c r="N35" t="s">
        <v>48</v>
      </c>
    </row>
    <row r="36" spans="1:14">
      <c r="A36" s="1">
        <v>25</v>
      </c>
      <c r="B36" s="1">
        <v>379</v>
      </c>
      <c r="C36" s="2" t="s">
        <v>88</v>
      </c>
      <c r="D36" s="1">
        <v>0.78</v>
      </c>
      <c r="E36" s="1" t="s">
        <v>63</v>
      </c>
      <c r="F36" s="1" t="s">
        <v>85</v>
      </c>
      <c r="G36" s="1" t="s">
        <v>77</v>
      </c>
      <c r="H36" s="1" t="s">
        <v>46</v>
      </c>
      <c r="I36" s="1">
        <f t="shared" si="0"/>
        <v>615</v>
      </c>
      <c r="J36" s="1">
        <f t="shared" si="1"/>
        <v>77</v>
      </c>
      <c r="K36" s="1">
        <f>IF(J36=0,0,ROUND(79.882/76.923,3))</f>
        <v>1.038</v>
      </c>
      <c r="L36" s="1">
        <f t="shared" si="2"/>
        <v>1</v>
      </c>
      <c r="M36" s="1" t="s">
        <v>47</v>
      </c>
      <c r="N36" t="s">
        <v>48</v>
      </c>
    </row>
    <row r="37" spans="1:14">
      <c r="A37" s="1">
        <v>26</v>
      </c>
      <c r="B37" s="1">
        <v>19160</v>
      </c>
      <c r="C37" s="2" t="s">
        <v>89</v>
      </c>
      <c r="D37" s="1">
        <v>0.28000000000000003</v>
      </c>
      <c r="E37" s="1" t="s">
        <v>63</v>
      </c>
      <c r="F37" s="1" t="s">
        <v>68</v>
      </c>
      <c r="G37" s="1" t="s">
        <v>47</v>
      </c>
      <c r="H37" s="1" t="s">
        <v>52</v>
      </c>
      <c r="I37" s="1">
        <f t="shared" si="0"/>
        <v>1714</v>
      </c>
      <c r="J37" s="1">
        <f t="shared" si="1"/>
        <v>214</v>
      </c>
      <c r="K37" s="1">
        <f>IF(J37=0,0,ROUND(79.882/214.286,3))</f>
        <v>0.373</v>
      </c>
      <c r="L37" s="1">
        <f t="shared" si="2"/>
        <v>0.5</v>
      </c>
      <c r="M37" s="1" t="s">
        <v>47</v>
      </c>
      <c r="N37" t="s">
        <v>53</v>
      </c>
    </row>
    <row r="38" spans="1:14">
      <c r="A38" s="1">
        <v>27</v>
      </c>
      <c r="B38" s="1">
        <v>15084</v>
      </c>
      <c r="C38" s="2" t="s">
        <v>90</v>
      </c>
      <c r="D38" s="1">
        <v>0.68600000000000005</v>
      </c>
      <c r="E38" s="1" t="s">
        <v>43</v>
      </c>
      <c r="F38" s="1" t="s">
        <v>68</v>
      </c>
      <c r="G38" s="1" t="s">
        <v>87</v>
      </c>
      <c r="H38" s="1" t="s">
        <v>91</v>
      </c>
      <c r="I38" s="1">
        <f t="shared" si="0"/>
        <v>700</v>
      </c>
      <c r="J38" s="1">
        <f t="shared" si="1"/>
        <v>87</v>
      </c>
      <c r="K38" s="1">
        <f>IF(J38=0,0,ROUND(79.882/87.464,3))</f>
        <v>0.91300000000000003</v>
      </c>
      <c r="L38" s="1">
        <f t="shared" si="2"/>
        <v>1</v>
      </c>
      <c r="M38" s="1" t="s">
        <v>47</v>
      </c>
      <c r="N38" t="s">
        <v>48</v>
      </c>
    </row>
    <row r="39" spans="1:14">
      <c r="A39" s="1">
        <v>28</v>
      </c>
      <c r="B39" s="1">
        <v>1983</v>
      </c>
      <c r="C39" s="2" t="s">
        <v>92</v>
      </c>
      <c r="D39" s="1">
        <v>0.28299999999999997</v>
      </c>
      <c r="E39" s="1" t="s">
        <v>43</v>
      </c>
      <c r="F39" s="1" t="s">
        <v>93</v>
      </c>
      <c r="G39" s="1" t="s">
        <v>87</v>
      </c>
      <c r="H39" s="1" t="s">
        <v>46</v>
      </c>
      <c r="I39" s="1">
        <f t="shared" si="0"/>
        <v>1696</v>
      </c>
      <c r="J39" s="1">
        <f t="shared" si="1"/>
        <v>212</v>
      </c>
      <c r="K39" s="1">
        <f>IF(J39=0,0,ROUND(79.882/212.014,3))</f>
        <v>0.377</v>
      </c>
      <c r="L39" s="1">
        <f t="shared" si="2"/>
        <v>0.5</v>
      </c>
      <c r="M39" s="1" t="s">
        <v>47</v>
      </c>
      <c r="N39" t="s">
        <v>48</v>
      </c>
    </row>
    <row r="40" spans="1:14">
      <c r="A40" s="1">
        <v>29</v>
      </c>
      <c r="B40" s="1">
        <v>1678</v>
      </c>
      <c r="C40" s="2" t="s">
        <v>94</v>
      </c>
      <c r="D40" s="1">
        <v>0.28299999999999997</v>
      </c>
      <c r="E40" s="1" t="s">
        <v>43</v>
      </c>
      <c r="F40" s="1" t="s">
        <v>93</v>
      </c>
      <c r="G40" s="1" t="s">
        <v>47</v>
      </c>
      <c r="H40" s="1" t="s">
        <v>75</v>
      </c>
      <c r="I40" s="1">
        <f t="shared" si="0"/>
        <v>1696</v>
      </c>
      <c r="J40" s="1">
        <f t="shared" si="1"/>
        <v>212</v>
      </c>
      <c r="K40" s="1">
        <f>IF(J40=0,0,ROUND(79.882/212.014,3))</f>
        <v>0.377</v>
      </c>
      <c r="L40" s="1">
        <f t="shared" si="2"/>
        <v>0.5</v>
      </c>
      <c r="M40" s="1" t="s">
        <v>47</v>
      </c>
      <c r="N40" t="s">
        <v>48</v>
      </c>
    </row>
    <row r="41" spans="1:14">
      <c r="A41" s="1">
        <v>30</v>
      </c>
      <c r="B41" s="1">
        <v>255</v>
      </c>
      <c r="C41" s="2" t="s">
        <v>95</v>
      </c>
      <c r="D41" s="1">
        <v>0.44600000000000001</v>
      </c>
      <c r="E41" s="1" t="s">
        <v>43</v>
      </c>
      <c r="F41" s="1" t="s">
        <v>93</v>
      </c>
      <c r="G41" s="1" t="s">
        <v>96</v>
      </c>
      <c r="H41" s="1" t="s">
        <v>75</v>
      </c>
      <c r="I41" s="1">
        <f t="shared" si="0"/>
        <v>1076</v>
      </c>
      <c r="J41" s="1">
        <f t="shared" si="1"/>
        <v>135</v>
      </c>
      <c r="K41" s="1">
        <f>IF(J41=0,0,ROUND(79.882/134.529,3))</f>
        <v>0.59399999999999997</v>
      </c>
      <c r="L41" s="1">
        <f t="shared" si="2"/>
        <v>0.5</v>
      </c>
      <c r="M41" s="1" t="s">
        <v>47</v>
      </c>
      <c r="N41" t="s">
        <v>48</v>
      </c>
    </row>
    <row r="42" spans="1:14">
      <c r="A42" s="1">
        <v>31</v>
      </c>
      <c r="B42" s="1">
        <v>256</v>
      </c>
      <c r="C42" s="2" t="s">
        <v>97</v>
      </c>
      <c r="D42" s="1">
        <v>0.33200000000000002</v>
      </c>
      <c r="E42" s="1" t="s">
        <v>43</v>
      </c>
      <c r="F42" s="1" t="s">
        <v>93</v>
      </c>
      <c r="G42" s="1" t="s">
        <v>98</v>
      </c>
      <c r="H42" s="1" t="s">
        <v>99</v>
      </c>
      <c r="I42" s="1">
        <f t="shared" si="0"/>
        <v>1446</v>
      </c>
      <c r="J42" s="1">
        <f t="shared" si="1"/>
        <v>181</v>
      </c>
      <c r="K42" s="1">
        <f>IF(J42=0,0,ROUND(79.882/180.723,3))</f>
        <v>0.442</v>
      </c>
      <c r="L42" s="1">
        <f t="shared" si="2"/>
        <v>0.5</v>
      </c>
      <c r="M42" s="1" t="s">
        <v>47</v>
      </c>
      <c r="N42" t="s">
        <v>48</v>
      </c>
    </row>
    <row r="43" spans="1:14">
      <c r="A43" s="1">
        <v>32</v>
      </c>
      <c r="B43" s="1">
        <v>89</v>
      </c>
      <c r="C43" s="2" t="s">
        <v>100</v>
      </c>
      <c r="D43" s="1">
        <v>0.54300000000000004</v>
      </c>
      <c r="E43" s="1" t="s">
        <v>43</v>
      </c>
      <c r="F43" s="1" t="s">
        <v>101</v>
      </c>
      <c r="G43" s="1" t="s">
        <v>65</v>
      </c>
      <c r="H43" s="1" t="s">
        <v>46</v>
      </c>
      <c r="I43" s="1">
        <f t="shared" si="0"/>
        <v>884</v>
      </c>
      <c r="J43" s="1">
        <f t="shared" si="1"/>
        <v>110</v>
      </c>
      <c r="K43" s="1">
        <f>IF(J43=0,0,ROUND(79.882/110.497,3))</f>
        <v>0.72299999999999998</v>
      </c>
      <c r="L43" s="1">
        <f t="shared" si="2"/>
        <v>0.5</v>
      </c>
      <c r="M43" s="1" t="s">
        <v>47</v>
      </c>
      <c r="N43" t="s">
        <v>48</v>
      </c>
    </row>
    <row r="44" spans="1:14">
      <c r="A44" s="1">
        <v>33</v>
      </c>
      <c r="B44" s="1">
        <v>2</v>
      </c>
      <c r="C44" s="2" t="s">
        <v>102</v>
      </c>
      <c r="D44" s="1">
        <v>0.26800000000000002</v>
      </c>
      <c r="E44" s="1" t="s">
        <v>43</v>
      </c>
      <c r="F44" s="1" t="s">
        <v>103</v>
      </c>
      <c r="G44" s="1" t="s">
        <v>65</v>
      </c>
      <c r="H44" s="1" t="s">
        <v>52</v>
      </c>
      <c r="I44" s="1">
        <f t="shared" ref="I44:I80" si="3">ROUND($M$5/D44,0)</f>
        <v>1791</v>
      </c>
      <c r="J44" s="1">
        <f t="shared" ref="J44:J80" si="4">ROUND(60/D44,0)</f>
        <v>224</v>
      </c>
      <c r="K44" s="1">
        <f>IF(J44=0,0,ROUND(79.882/223.881,3))</f>
        <v>0.35699999999999998</v>
      </c>
      <c r="L44" s="1">
        <f t="shared" ref="L44:L75" si="5">IF(AND(K44&gt;-0.1,K44&lt;=0.75),0.5,IF(AND(K44&gt;0.75,K44&lt;=1.25),1,IF(AND(K44&gt;1.25,K44&lt;=1.75),1.5,IF(AND(K44&gt;1.75,K44&lt;=2.25),2,IF(AND(K44&gt;2.25,K44&lt;=2.75),2.5,IF(AND(K44&gt;2.75,K44&lt;=3.25),3,IF(AND(K44&gt;3.25,K44&lt;=3.75),3.5,IF(AND(K44&gt;3.75,K44&lt;=4.25),4,IF(AND(K44&gt;4.25,K44&lt;=4.75),4.5,IF(AND(K44&gt;4.75,K44&lt;=5.25),5,IF(AND(K44&gt;5.25,K44&lt;=5.75),5.5,IF(AND(K44&gt;5.75,K44&lt;=6.25),6,IF(AND(K44&gt;6.25,K44&lt;=6.75),6.5,IF(AND(K44&gt;6.75,K44&lt;=7.25),7,IF(AND(K44&gt;7.25,K44&lt;=7.75),7.5,IF(AND(K44&gt;7.75,K44&lt;=8.25),8,IF(AND(K44&gt;8.25,K44&lt;=8.75),8.5,IF(AND(K44&gt;8.75,K44&lt;=9.25),9,IF(AND(K44&gt;9.25,K44&lt;=9.75),9.5,IF(AND(K44&gt;9.75,K44&lt;=10.25),10,11))))))))))))))))))))</f>
        <v>0.5</v>
      </c>
      <c r="M44" s="1" t="s">
        <v>47</v>
      </c>
      <c r="N44" t="s">
        <v>53</v>
      </c>
    </row>
    <row r="45" spans="1:14">
      <c r="A45" s="1">
        <v>34</v>
      </c>
      <c r="B45" s="1">
        <v>29</v>
      </c>
      <c r="C45" s="2" t="s">
        <v>104</v>
      </c>
      <c r="D45" s="1">
        <v>0.22900000000000001</v>
      </c>
      <c r="E45" s="1" t="s">
        <v>43</v>
      </c>
      <c r="F45" s="1" t="s">
        <v>103</v>
      </c>
      <c r="G45" s="1" t="s">
        <v>96</v>
      </c>
      <c r="H45" s="1" t="s">
        <v>46</v>
      </c>
      <c r="I45" s="1">
        <f t="shared" si="3"/>
        <v>2096</v>
      </c>
      <c r="J45" s="1">
        <f t="shared" si="4"/>
        <v>262</v>
      </c>
      <c r="K45" s="1">
        <f>IF(J45=0,0,ROUND(79.882/262.009,3))</f>
        <v>0.30499999999999999</v>
      </c>
      <c r="L45" s="1">
        <f t="shared" si="5"/>
        <v>0.5</v>
      </c>
      <c r="M45" s="1" t="s">
        <v>47</v>
      </c>
      <c r="N45" t="s">
        <v>48</v>
      </c>
    </row>
    <row r="46" spans="1:14">
      <c r="A46" s="1">
        <v>35</v>
      </c>
      <c r="B46" s="1">
        <v>30</v>
      </c>
      <c r="C46" s="2" t="s">
        <v>105</v>
      </c>
      <c r="D46" s="1">
        <v>0.32600000000000001</v>
      </c>
      <c r="E46" s="1" t="s">
        <v>43</v>
      </c>
      <c r="F46" s="1" t="s">
        <v>106</v>
      </c>
      <c r="G46" s="1" t="s">
        <v>65</v>
      </c>
      <c r="H46" s="1" t="s">
        <v>52</v>
      </c>
      <c r="I46" s="1">
        <f t="shared" si="3"/>
        <v>1472</v>
      </c>
      <c r="J46" s="1">
        <f t="shared" si="4"/>
        <v>184</v>
      </c>
      <c r="K46" s="1">
        <f>IF(J46=0,0,ROUND(79.882/184.049,3))</f>
        <v>0.434</v>
      </c>
      <c r="L46" s="1">
        <f t="shared" si="5"/>
        <v>0.5</v>
      </c>
      <c r="M46" s="1" t="s">
        <v>47</v>
      </c>
      <c r="N46" t="s">
        <v>53</v>
      </c>
    </row>
    <row r="47" spans="1:14">
      <c r="A47" s="1">
        <v>36</v>
      </c>
      <c r="B47" s="1">
        <v>259</v>
      </c>
      <c r="C47" s="2" t="s">
        <v>107</v>
      </c>
      <c r="D47" s="1">
        <v>0.32600000000000001</v>
      </c>
      <c r="E47" s="1" t="s">
        <v>43</v>
      </c>
      <c r="F47" s="1" t="s">
        <v>106</v>
      </c>
      <c r="G47" s="1" t="s">
        <v>108</v>
      </c>
      <c r="H47" s="1" t="s">
        <v>69</v>
      </c>
      <c r="I47" s="1">
        <f t="shared" si="3"/>
        <v>1472</v>
      </c>
      <c r="J47" s="1">
        <f t="shared" si="4"/>
        <v>184</v>
      </c>
      <c r="K47" s="1">
        <f>IF(J47=0,0,ROUND(79.882/184.049,3))</f>
        <v>0.434</v>
      </c>
      <c r="L47" s="1">
        <f t="shared" si="5"/>
        <v>0.5</v>
      </c>
      <c r="M47" s="1" t="s">
        <v>47</v>
      </c>
      <c r="N47" t="s">
        <v>53</v>
      </c>
    </row>
    <row r="48" spans="1:14">
      <c r="A48" s="1">
        <v>37</v>
      </c>
      <c r="B48" s="1">
        <v>832</v>
      </c>
      <c r="C48" s="2" t="s">
        <v>109</v>
      </c>
      <c r="D48" s="1">
        <v>0.372</v>
      </c>
      <c r="E48" s="1" t="s">
        <v>43</v>
      </c>
      <c r="F48" s="1" t="s">
        <v>106</v>
      </c>
      <c r="G48" s="1" t="s">
        <v>65</v>
      </c>
      <c r="H48" s="1" t="s">
        <v>52</v>
      </c>
      <c r="I48" s="1">
        <f t="shared" si="3"/>
        <v>1290</v>
      </c>
      <c r="J48" s="1">
        <f t="shared" si="4"/>
        <v>161</v>
      </c>
      <c r="K48" s="1">
        <f>IF(J48=0,0,ROUND(79.882/161.29,3))</f>
        <v>0.495</v>
      </c>
      <c r="L48" s="1">
        <f t="shared" si="5"/>
        <v>0.5</v>
      </c>
      <c r="M48" s="1" t="s">
        <v>47</v>
      </c>
      <c r="N48" t="s">
        <v>53</v>
      </c>
    </row>
    <row r="49" spans="1:14">
      <c r="A49" s="1">
        <v>38</v>
      </c>
      <c r="B49" s="1">
        <v>6567</v>
      </c>
      <c r="C49" s="2" t="s">
        <v>110</v>
      </c>
      <c r="D49" s="1">
        <v>0.42</v>
      </c>
      <c r="E49" s="1" t="s">
        <v>63</v>
      </c>
      <c r="F49" s="1" t="s">
        <v>106</v>
      </c>
      <c r="G49" s="1" t="s">
        <v>111</v>
      </c>
      <c r="H49" s="1" t="s">
        <v>46</v>
      </c>
      <c r="I49" s="1">
        <f t="shared" si="3"/>
        <v>1143</v>
      </c>
      <c r="J49" s="1">
        <f t="shared" si="4"/>
        <v>143</v>
      </c>
      <c r="K49" s="1">
        <f>IF(J49=0,0,ROUND(79.882/142.857,3))</f>
        <v>0.55900000000000005</v>
      </c>
      <c r="L49" s="1">
        <f t="shared" si="5"/>
        <v>0.5</v>
      </c>
      <c r="M49" s="1" t="s">
        <v>47</v>
      </c>
      <c r="N49" t="s">
        <v>48</v>
      </c>
    </row>
    <row r="50" spans="1:14">
      <c r="A50" s="1">
        <v>39</v>
      </c>
      <c r="B50" s="1">
        <v>942</v>
      </c>
      <c r="C50" s="2" t="s">
        <v>112</v>
      </c>
      <c r="D50" s="1">
        <v>0.25</v>
      </c>
      <c r="E50" s="1" t="s">
        <v>63</v>
      </c>
      <c r="F50" s="1" t="s">
        <v>106</v>
      </c>
      <c r="G50" s="1" t="s">
        <v>47</v>
      </c>
      <c r="H50" s="1" t="s">
        <v>52</v>
      </c>
      <c r="I50" s="1">
        <f t="shared" si="3"/>
        <v>1920</v>
      </c>
      <c r="J50" s="1">
        <f t="shared" si="4"/>
        <v>240</v>
      </c>
      <c r="K50" s="1">
        <f>IF(J50=0,0,ROUND(79.882/240,3))</f>
        <v>0.33300000000000002</v>
      </c>
      <c r="L50" s="1">
        <f t="shared" si="5"/>
        <v>0.5</v>
      </c>
      <c r="M50" s="1" t="s">
        <v>47</v>
      </c>
      <c r="N50" t="s">
        <v>53</v>
      </c>
    </row>
    <row r="51" spans="1:14">
      <c r="A51" s="1">
        <v>40</v>
      </c>
      <c r="B51" s="1">
        <v>5054</v>
      </c>
      <c r="C51" s="2" t="s">
        <v>113</v>
      </c>
      <c r="D51" s="1">
        <v>0.4</v>
      </c>
      <c r="E51" s="1" t="s">
        <v>43</v>
      </c>
      <c r="F51" s="1" t="s">
        <v>106</v>
      </c>
      <c r="G51" s="1" t="s">
        <v>114</v>
      </c>
      <c r="H51" s="1" t="s">
        <v>75</v>
      </c>
      <c r="I51" s="1">
        <f t="shared" si="3"/>
        <v>1200</v>
      </c>
      <c r="J51" s="1">
        <f t="shared" si="4"/>
        <v>150</v>
      </c>
      <c r="K51" s="1">
        <f>IF(J51=0,0,ROUND(79.882/150,3))</f>
        <v>0.53300000000000003</v>
      </c>
      <c r="L51" s="1">
        <f t="shared" si="5"/>
        <v>0.5</v>
      </c>
      <c r="M51" s="1" t="s">
        <v>47</v>
      </c>
      <c r="N51" t="s">
        <v>48</v>
      </c>
    </row>
    <row r="52" spans="1:14">
      <c r="A52" s="1">
        <v>41</v>
      </c>
      <c r="B52" s="1">
        <v>6992</v>
      </c>
      <c r="C52" s="2" t="s">
        <v>115</v>
      </c>
      <c r="D52" s="1">
        <v>0.33200000000000002</v>
      </c>
      <c r="E52" s="1" t="s">
        <v>43</v>
      </c>
      <c r="F52" s="1" t="s">
        <v>106</v>
      </c>
      <c r="G52" s="1" t="s">
        <v>77</v>
      </c>
      <c r="H52" s="1" t="s">
        <v>75</v>
      </c>
      <c r="I52" s="1">
        <f t="shared" si="3"/>
        <v>1446</v>
      </c>
      <c r="J52" s="1">
        <f t="shared" si="4"/>
        <v>181</v>
      </c>
      <c r="K52" s="1">
        <f>IF(J52=0,0,ROUND(79.882/180.723,3))</f>
        <v>0.442</v>
      </c>
      <c r="L52" s="1">
        <f t="shared" si="5"/>
        <v>0.5</v>
      </c>
      <c r="M52" s="1" t="s">
        <v>47</v>
      </c>
      <c r="N52" t="s">
        <v>48</v>
      </c>
    </row>
    <row r="53" spans="1:14">
      <c r="A53" s="1">
        <v>42</v>
      </c>
      <c r="B53" s="1">
        <v>6692</v>
      </c>
      <c r="C53" s="2" t="s">
        <v>116</v>
      </c>
      <c r="D53" s="1">
        <v>0.35</v>
      </c>
      <c r="E53" s="1" t="s">
        <v>63</v>
      </c>
      <c r="F53" s="1" t="s">
        <v>106</v>
      </c>
      <c r="G53" s="1" t="s">
        <v>87</v>
      </c>
      <c r="H53" s="1" t="s">
        <v>52</v>
      </c>
      <c r="I53" s="1">
        <f t="shared" si="3"/>
        <v>1371</v>
      </c>
      <c r="J53" s="1">
        <f t="shared" si="4"/>
        <v>171</v>
      </c>
      <c r="K53" s="1">
        <f>IF(J53=0,0,ROUND(79.882/171.429,3))</f>
        <v>0.46600000000000003</v>
      </c>
      <c r="L53" s="1">
        <f t="shared" si="5"/>
        <v>0.5</v>
      </c>
      <c r="M53" s="1" t="s">
        <v>47</v>
      </c>
      <c r="N53" t="s">
        <v>53</v>
      </c>
    </row>
    <row r="54" spans="1:14">
      <c r="A54" s="1">
        <v>43</v>
      </c>
      <c r="B54" s="1">
        <v>713</v>
      </c>
      <c r="C54" s="2" t="s">
        <v>117</v>
      </c>
      <c r="D54" s="1">
        <v>0.377</v>
      </c>
      <c r="E54" s="1" t="s">
        <v>43</v>
      </c>
      <c r="F54" s="1" t="s">
        <v>106</v>
      </c>
      <c r="G54" s="1" t="s">
        <v>81</v>
      </c>
      <c r="H54" s="1" t="s">
        <v>46</v>
      </c>
      <c r="I54" s="1">
        <f t="shared" si="3"/>
        <v>1273</v>
      </c>
      <c r="J54" s="1">
        <f t="shared" si="4"/>
        <v>159</v>
      </c>
      <c r="K54" s="1">
        <f>IF(J54=0,0,ROUND(79.882/159.151,3))</f>
        <v>0.502</v>
      </c>
      <c r="L54" s="1">
        <f t="shared" si="5"/>
        <v>0.5</v>
      </c>
      <c r="M54" s="1" t="s">
        <v>47</v>
      </c>
      <c r="N54" t="s">
        <v>48</v>
      </c>
    </row>
    <row r="55" spans="1:14">
      <c r="A55" s="1">
        <v>44</v>
      </c>
      <c r="B55" s="1">
        <v>900</v>
      </c>
      <c r="C55" s="2" t="s">
        <v>118</v>
      </c>
      <c r="D55" s="1">
        <v>0.36099999999999999</v>
      </c>
      <c r="E55" s="1" t="s">
        <v>43</v>
      </c>
      <c r="F55" s="1" t="s">
        <v>106</v>
      </c>
      <c r="G55" s="1" t="s">
        <v>61</v>
      </c>
      <c r="H55" s="1" t="s">
        <v>69</v>
      </c>
      <c r="I55" s="1">
        <f t="shared" si="3"/>
        <v>1330</v>
      </c>
      <c r="J55" s="1">
        <f t="shared" si="4"/>
        <v>166</v>
      </c>
      <c r="K55" s="1">
        <f>IF(J55=0,0,ROUND(79.882/166.205,3))</f>
        <v>0.48099999999999998</v>
      </c>
      <c r="L55" s="1">
        <f t="shared" si="5"/>
        <v>0.5</v>
      </c>
      <c r="M55" s="1" t="s">
        <v>47</v>
      </c>
      <c r="N55" t="s">
        <v>53</v>
      </c>
    </row>
    <row r="56" spans="1:14">
      <c r="A56" s="1">
        <v>45</v>
      </c>
      <c r="B56" s="1">
        <v>437</v>
      </c>
      <c r="C56" s="2" t="s">
        <v>119</v>
      </c>
      <c r="D56" s="1">
        <v>0.70899999999999996</v>
      </c>
      <c r="E56" s="1" t="s">
        <v>43</v>
      </c>
      <c r="F56" s="1" t="s">
        <v>106</v>
      </c>
      <c r="G56" s="1" t="s">
        <v>81</v>
      </c>
      <c r="H56" s="1" t="s">
        <v>75</v>
      </c>
      <c r="I56" s="1">
        <f t="shared" si="3"/>
        <v>677</v>
      </c>
      <c r="J56" s="1">
        <f t="shared" si="4"/>
        <v>85</v>
      </c>
      <c r="K56" s="1">
        <f>IF(J56=0,0,ROUND(79.882/84.626,3))</f>
        <v>0.94399999999999995</v>
      </c>
      <c r="L56" s="1">
        <f t="shared" si="5"/>
        <v>1</v>
      </c>
      <c r="M56" s="1" t="s">
        <v>47</v>
      </c>
      <c r="N56" t="s">
        <v>48</v>
      </c>
    </row>
    <row r="57" spans="1:14">
      <c r="A57" s="1">
        <v>46</v>
      </c>
      <c r="B57" s="1">
        <v>4189</v>
      </c>
      <c r="C57" s="2" t="s">
        <v>120</v>
      </c>
      <c r="D57" s="1">
        <v>0.54900000000000004</v>
      </c>
      <c r="E57" s="1" t="s">
        <v>43</v>
      </c>
      <c r="F57" s="1" t="s">
        <v>101</v>
      </c>
      <c r="G57" s="1" t="s">
        <v>121</v>
      </c>
      <c r="H57" s="1" t="s">
        <v>46</v>
      </c>
      <c r="I57" s="1">
        <f t="shared" si="3"/>
        <v>874</v>
      </c>
      <c r="J57" s="1">
        <f t="shared" si="4"/>
        <v>109</v>
      </c>
      <c r="K57" s="1">
        <f>IF(J57=0,0,ROUND(79.882/109.29,3))</f>
        <v>0.73099999999999998</v>
      </c>
      <c r="L57" s="1">
        <f t="shared" si="5"/>
        <v>0.5</v>
      </c>
      <c r="M57" s="1" t="s">
        <v>47</v>
      </c>
      <c r="N57" t="s">
        <v>48</v>
      </c>
    </row>
    <row r="58" spans="1:14">
      <c r="A58" s="1">
        <v>47</v>
      </c>
      <c r="B58" s="1">
        <v>961</v>
      </c>
      <c r="C58" s="2" t="s">
        <v>122</v>
      </c>
      <c r="D58" s="1">
        <v>0.35399999999999998</v>
      </c>
      <c r="E58" s="1" t="s">
        <v>43</v>
      </c>
      <c r="F58" s="1" t="s">
        <v>101</v>
      </c>
      <c r="G58" s="1" t="s">
        <v>123</v>
      </c>
      <c r="H58" s="1" t="s">
        <v>99</v>
      </c>
      <c r="I58" s="1">
        <f t="shared" si="3"/>
        <v>1356</v>
      </c>
      <c r="J58" s="1">
        <f t="shared" si="4"/>
        <v>169</v>
      </c>
      <c r="K58" s="1">
        <f>IF(J58=0,0,ROUND(79.882/169.492,3))</f>
        <v>0.47099999999999997</v>
      </c>
      <c r="L58" s="1">
        <f t="shared" si="5"/>
        <v>0.5</v>
      </c>
      <c r="M58" s="1" t="s">
        <v>47</v>
      </c>
      <c r="N58" t="s">
        <v>48</v>
      </c>
    </row>
    <row r="59" spans="1:14">
      <c r="A59" s="1">
        <v>48</v>
      </c>
      <c r="B59" s="1">
        <v>445</v>
      </c>
      <c r="C59" s="2" t="s">
        <v>124</v>
      </c>
      <c r="D59" s="1">
        <v>0.317</v>
      </c>
      <c r="E59" s="1" t="s">
        <v>43</v>
      </c>
      <c r="F59" s="1" t="s">
        <v>101</v>
      </c>
      <c r="G59" s="1" t="s">
        <v>125</v>
      </c>
      <c r="H59" s="1" t="s">
        <v>75</v>
      </c>
      <c r="I59" s="1">
        <f t="shared" si="3"/>
        <v>1514</v>
      </c>
      <c r="J59" s="1">
        <f t="shared" si="4"/>
        <v>189</v>
      </c>
      <c r="K59" s="1">
        <f>IF(J59=0,0,ROUND(79.882/189.274,3))</f>
        <v>0.42199999999999999</v>
      </c>
      <c r="L59" s="1">
        <f t="shared" si="5"/>
        <v>0.5</v>
      </c>
      <c r="M59" s="1" t="s">
        <v>47</v>
      </c>
      <c r="N59" t="s">
        <v>48</v>
      </c>
    </row>
    <row r="60" spans="1:14">
      <c r="A60" s="1">
        <v>49</v>
      </c>
      <c r="B60" s="1">
        <v>1497</v>
      </c>
      <c r="C60" s="2" t="s">
        <v>126</v>
      </c>
      <c r="D60" s="1">
        <v>0.21</v>
      </c>
      <c r="E60" s="1" t="s">
        <v>43</v>
      </c>
      <c r="F60" s="1" t="s">
        <v>101</v>
      </c>
      <c r="G60" s="1" t="s">
        <v>47</v>
      </c>
      <c r="H60" s="1" t="s">
        <v>50</v>
      </c>
      <c r="I60" s="1">
        <f t="shared" si="3"/>
        <v>2286</v>
      </c>
      <c r="J60" s="1">
        <f t="shared" si="4"/>
        <v>286</v>
      </c>
      <c r="K60" s="1">
        <f>IF(J60=0,0,ROUND(79.882/285.714,3))</f>
        <v>0.28000000000000003</v>
      </c>
      <c r="L60" s="1">
        <f t="shared" si="5"/>
        <v>0.5</v>
      </c>
      <c r="M60" s="1" t="s">
        <v>47</v>
      </c>
      <c r="N60" t="s">
        <v>48</v>
      </c>
    </row>
    <row r="61" spans="1:14">
      <c r="A61" s="1">
        <v>50</v>
      </c>
      <c r="B61" s="1">
        <v>825</v>
      </c>
      <c r="C61" s="2" t="s">
        <v>127</v>
      </c>
      <c r="D61" s="1">
        <v>0.32600000000000001</v>
      </c>
      <c r="E61" s="1" t="s">
        <v>43</v>
      </c>
      <c r="F61" s="1" t="s">
        <v>101</v>
      </c>
      <c r="G61" s="1" t="s">
        <v>47</v>
      </c>
      <c r="H61" s="1" t="s">
        <v>69</v>
      </c>
      <c r="I61" s="1">
        <f t="shared" si="3"/>
        <v>1472</v>
      </c>
      <c r="J61" s="1">
        <f t="shared" si="4"/>
        <v>184</v>
      </c>
      <c r="K61" s="1">
        <f>IF(J61=0,0,ROUND(79.882/184.049,3))</f>
        <v>0.434</v>
      </c>
      <c r="L61" s="1">
        <f t="shared" si="5"/>
        <v>0.5</v>
      </c>
      <c r="M61" s="1" t="s">
        <v>47</v>
      </c>
      <c r="N61" t="s">
        <v>53</v>
      </c>
    </row>
    <row r="62" spans="1:14">
      <c r="A62" s="1">
        <v>51</v>
      </c>
      <c r="B62" s="1">
        <v>40</v>
      </c>
      <c r="C62" s="2" t="s">
        <v>128</v>
      </c>
      <c r="D62" s="1">
        <v>0.64</v>
      </c>
      <c r="E62" s="1" t="s">
        <v>43</v>
      </c>
      <c r="F62" s="1" t="s">
        <v>101</v>
      </c>
      <c r="G62" s="1" t="s">
        <v>61</v>
      </c>
      <c r="H62" s="1" t="s">
        <v>46</v>
      </c>
      <c r="I62" s="1">
        <f t="shared" si="3"/>
        <v>750</v>
      </c>
      <c r="J62" s="1">
        <f t="shared" si="4"/>
        <v>94</v>
      </c>
      <c r="K62" s="1">
        <f>IF(J62=0,0,ROUND(79.882/93.75,3))</f>
        <v>0.85199999999999998</v>
      </c>
      <c r="L62" s="1">
        <f t="shared" si="5"/>
        <v>1</v>
      </c>
      <c r="M62" s="1" t="s">
        <v>47</v>
      </c>
      <c r="N62" t="s">
        <v>48</v>
      </c>
    </row>
    <row r="63" spans="1:14">
      <c r="A63" s="1">
        <v>52</v>
      </c>
      <c r="B63" s="1">
        <v>41</v>
      </c>
      <c r="C63" s="2" t="s">
        <v>129</v>
      </c>
      <c r="D63" s="1">
        <v>0.8</v>
      </c>
      <c r="E63" s="1" t="s">
        <v>43</v>
      </c>
      <c r="F63" s="1" t="s">
        <v>101</v>
      </c>
      <c r="G63" s="1" t="s">
        <v>81</v>
      </c>
      <c r="H63" s="1" t="s">
        <v>46</v>
      </c>
      <c r="I63" s="1">
        <f t="shared" si="3"/>
        <v>600</v>
      </c>
      <c r="J63" s="1">
        <f t="shared" si="4"/>
        <v>75</v>
      </c>
      <c r="K63" s="1">
        <f>IF(J63=0,0,ROUND(79.882/75,3))</f>
        <v>1.0649999999999999</v>
      </c>
      <c r="L63" s="1">
        <f t="shared" si="5"/>
        <v>1</v>
      </c>
      <c r="M63" s="1" t="s">
        <v>47</v>
      </c>
      <c r="N63" t="s">
        <v>48</v>
      </c>
    </row>
    <row r="64" spans="1:14">
      <c r="A64" s="1">
        <v>53</v>
      </c>
      <c r="B64" s="1">
        <v>1687</v>
      </c>
      <c r="C64" s="2" t="s">
        <v>130</v>
      </c>
      <c r="D64" s="1">
        <v>0.57699999999999996</v>
      </c>
      <c r="E64" s="1" t="s">
        <v>43</v>
      </c>
      <c r="F64" s="1" t="s">
        <v>101</v>
      </c>
      <c r="G64" s="1" t="s">
        <v>47</v>
      </c>
      <c r="H64" s="1" t="s">
        <v>75</v>
      </c>
      <c r="I64" s="1">
        <f t="shared" si="3"/>
        <v>832</v>
      </c>
      <c r="J64" s="1">
        <f t="shared" si="4"/>
        <v>104</v>
      </c>
      <c r="K64" s="1">
        <f>IF(J64=0,0,ROUND(79.882/103.986,3))</f>
        <v>0.76800000000000002</v>
      </c>
      <c r="L64" s="1">
        <f t="shared" si="5"/>
        <v>1</v>
      </c>
      <c r="M64" s="1" t="s">
        <v>47</v>
      </c>
      <c r="N64" t="s">
        <v>48</v>
      </c>
    </row>
    <row r="65" spans="1:14">
      <c r="A65" s="1">
        <v>54</v>
      </c>
      <c r="B65" s="1">
        <v>42</v>
      </c>
      <c r="C65" s="2" t="s">
        <v>131</v>
      </c>
      <c r="D65" s="1">
        <v>1.155</v>
      </c>
      <c r="E65" s="1" t="s">
        <v>43</v>
      </c>
      <c r="F65" s="1" t="s">
        <v>101</v>
      </c>
      <c r="G65" s="1" t="s">
        <v>132</v>
      </c>
      <c r="H65" s="1" t="s">
        <v>46</v>
      </c>
      <c r="I65" s="1">
        <f t="shared" si="3"/>
        <v>416</v>
      </c>
      <c r="J65" s="1">
        <f t="shared" si="4"/>
        <v>52</v>
      </c>
      <c r="K65" s="1">
        <f>IF(J65=0,0,ROUND(79.882/51.948,3))</f>
        <v>1.538</v>
      </c>
      <c r="L65" s="1">
        <f t="shared" si="5"/>
        <v>1.5</v>
      </c>
      <c r="M65" s="1" t="s">
        <v>47</v>
      </c>
      <c r="N65" t="s">
        <v>48</v>
      </c>
    </row>
    <row r="66" spans="1:14">
      <c r="A66" s="1">
        <v>55</v>
      </c>
      <c r="B66" s="1">
        <v>148</v>
      </c>
      <c r="C66" s="2" t="s">
        <v>133</v>
      </c>
      <c r="D66" s="1">
        <v>0.65200000000000002</v>
      </c>
      <c r="E66" s="1" t="s">
        <v>43</v>
      </c>
      <c r="F66" s="1" t="s">
        <v>101</v>
      </c>
      <c r="G66" s="1" t="s">
        <v>134</v>
      </c>
      <c r="H66" s="1" t="s">
        <v>135</v>
      </c>
      <c r="I66" s="1">
        <f t="shared" si="3"/>
        <v>736</v>
      </c>
      <c r="J66" s="1">
        <f t="shared" si="4"/>
        <v>92</v>
      </c>
      <c r="K66" s="1">
        <f>IF(J66=0,0,ROUND(79.882/92.025,3))</f>
        <v>0.86799999999999999</v>
      </c>
      <c r="L66" s="1">
        <f t="shared" si="5"/>
        <v>1</v>
      </c>
      <c r="M66" s="1" t="s">
        <v>47</v>
      </c>
      <c r="N66" t="s">
        <v>48</v>
      </c>
    </row>
    <row r="67" spans="1:14">
      <c r="A67" s="1">
        <v>56</v>
      </c>
      <c r="B67" s="1">
        <v>786</v>
      </c>
      <c r="C67" s="2" t="s">
        <v>136</v>
      </c>
      <c r="D67" s="1">
        <v>0.40799999999999997</v>
      </c>
      <c r="E67" s="1" t="s">
        <v>43</v>
      </c>
      <c r="F67" s="1" t="s">
        <v>101</v>
      </c>
      <c r="G67" s="1" t="s">
        <v>137</v>
      </c>
      <c r="H67" s="1" t="s">
        <v>46</v>
      </c>
      <c r="I67" s="1">
        <f t="shared" si="3"/>
        <v>1176</v>
      </c>
      <c r="J67" s="1">
        <f t="shared" si="4"/>
        <v>147</v>
      </c>
      <c r="K67" s="1">
        <f>IF(J67=0,0,ROUND(79.882/147.059,3))</f>
        <v>0.54300000000000004</v>
      </c>
      <c r="L67" s="1">
        <f t="shared" si="5"/>
        <v>0.5</v>
      </c>
      <c r="M67" s="1" t="s">
        <v>47</v>
      </c>
      <c r="N67" t="s">
        <v>48</v>
      </c>
    </row>
    <row r="68" spans="1:14">
      <c r="A68" s="1">
        <v>57</v>
      </c>
      <c r="B68" s="1">
        <v>787</v>
      </c>
      <c r="C68" s="2" t="s">
        <v>138</v>
      </c>
      <c r="D68" s="1">
        <v>0.53700000000000003</v>
      </c>
      <c r="E68" s="1" t="s">
        <v>43</v>
      </c>
      <c r="F68" s="1" t="s">
        <v>101</v>
      </c>
      <c r="G68" s="1" t="s">
        <v>134</v>
      </c>
      <c r="H68" s="1" t="s">
        <v>135</v>
      </c>
      <c r="I68" s="1">
        <f t="shared" si="3"/>
        <v>894</v>
      </c>
      <c r="J68" s="1">
        <f t="shared" si="4"/>
        <v>112</v>
      </c>
      <c r="K68" s="1">
        <f>IF(J68=0,0,ROUND(79.882/111.732,3))</f>
        <v>0.71499999999999997</v>
      </c>
      <c r="L68" s="1">
        <f t="shared" si="5"/>
        <v>0.5</v>
      </c>
      <c r="M68" s="1" t="s">
        <v>47</v>
      </c>
      <c r="N68" t="s">
        <v>48</v>
      </c>
    </row>
    <row r="69" spans="1:14">
      <c r="A69" s="1">
        <v>58</v>
      </c>
      <c r="B69" s="1">
        <v>614</v>
      </c>
      <c r="C69" s="2" t="s">
        <v>139</v>
      </c>
      <c r="D69" s="1">
        <v>0.74299999999999999</v>
      </c>
      <c r="E69" s="1" t="s">
        <v>43</v>
      </c>
      <c r="F69" s="1" t="s">
        <v>101</v>
      </c>
      <c r="G69" s="1" t="s">
        <v>77</v>
      </c>
      <c r="H69" s="1" t="s">
        <v>75</v>
      </c>
      <c r="I69" s="1">
        <f t="shared" si="3"/>
        <v>646</v>
      </c>
      <c r="J69" s="1">
        <f t="shared" si="4"/>
        <v>81</v>
      </c>
      <c r="K69" s="1">
        <f>IF(J69=0,0,ROUND(79.882/80.754,3))</f>
        <v>0.98899999999999999</v>
      </c>
      <c r="L69" s="1">
        <f t="shared" si="5"/>
        <v>1</v>
      </c>
      <c r="M69" s="1" t="s">
        <v>47</v>
      </c>
      <c r="N69" t="s">
        <v>48</v>
      </c>
    </row>
    <row r="70" spans="1:14">
      <c r="A70" s="1">
        <v>59</v>
      </c>
      <c r="B70" s="1">
        <v>937</v>
      </c>
      <c r="C70" s="2" t="s">
        <v>140</v>
      </c>
      <c r="D70" s="1">
        <v>0.55500000000000005</v>
      </c>
      <c r="E70" s="1" t="s">
        <v>43</v>
      </c>
      <c r="F70" s="1" t="s">
        <v>101</v>
      </c>
      <c r="G70" s="1" t="s">
        <v>87</v>
      </c>
      <c r="H70" s="1" t="s">
        <v>46</v>
      </c>
      <c r="I70" s="1">
        <f t="shared" si="3"/>
        <v>865</v>
      </c>
      <c r="J70" s="1">
        <f t="shared" si="4"/>
        <v>108</v>
      </c>
      <c r="K70" s="1">
        <f>IF(J70=0,0,ROUND(79.882/108.108,3))</f>
        <v>0.73899999999999999</v>
      </c>
      <c r="L70" s="1">
        <f t="shared" si="5"/>
        <v>0.5</v>
      </c>
      <c r="M70" s="1" t="s">
        <v>47</v>
      </c>
      <c r="N70" t="s">
        <v>48</v>
      </c>
    </row>
    <row r="71" spans="1:14">
      <c r="A71" s="1">
        <v>60</v>
      </c>
      <c r="B71" s="1">
        <v>838</v>
      </c>
      <c r="C71" s="2" t="s">
        <v>141</v>
      </c>
      <c r="D71" s="1">
        <v>0.84599999999999997</v>
      </c>
      <c r="E71" s="1" t="s">
        <v>43</v>
      </c>
      <c r="F71" s="1" t="s">
        <v>101</v>
      </c>
      <c r="G71" s="1" t="s">
        <v>142</v>
      </c>
      <c r="H71" s="1" t="s">
        <v>75</v>
      </c>
      <c r="I71" s="1">
        <f t="shared" si="3"/>
        <v>567</v>
      </c>
      <c r="J71" s="1">
        <f t="shared" si="4"/>
        <v>71</v>
      </c>
      <c r="K71" s="1">
        <f>IF(J71=0,0,ROUND(79.882/70.922,3))</f>
        <v>1.1259999999999999</v>
      </c>
      <c r="L71" s="1">
        <f t="shared" si="5"/>
        <v>1</v>
      </c>
      <c r="M71" s="1" t="s">
        <v>47</v>
      </c>
      <c r="N71" t="s">
        <v>48</v>
      </c>
    </row>
    <row r="72" spans="1:14">
      <c r="A72" s="1">
        <v>61</v>
      </c>
      <c r="B72" s="1">
        <v>366</v>
      </c>
      <c r="C72" s="2" t="s">
        <v>143</v>
      </c>
      <c r="D72" s="1">
        <v>0.67500000000000004</v>
      </c>
      <c r="E72" s="1" t="s">
        <v>43</v>
      </c>
      <c r="F72" s="1" t="s">
        <v>101</v>
      </c>
      <c r="G72" s="1" t="s">
        <v>81</v>
      </c>
      <c r="H72" s="1" t="s">
        <v>46</v>
      </c>
      <c r="I72" s="1">
        <f t="shared" si="3"/>
        <v>711</v>
      </c>
      <c r="J72" s="1">
        <f t="shared" si="4"/>
        <v>89</v>
      </c>
      <c r="K72" s="1">
        <f>IF(J72=0,0,ROUND(79.882/88.889,3))</f>
        <v>0.89900000000000002</v>
      </c>
      <c r="L72" s="1">
        <f t="shared" si="5"/>
        <v>1</v>
      </c>
      <c r="M72" s="1" t="s">
        <v>47</v>
      </c>
      <c r="N72" t="s">
        <v>48</v>
      </c>
    </row>
    <row r="73" spans="1:14">
      <c r="A73" s="1">
        <v>62</v>
      </c>
      <c r="B73" s="1">
        <v>3130</v>
      </c>
      <c r="C73" s="2" t="s">
        <v>144</v>
      </c>
      <c r="D73" s="1">
        <v>0.41899999999999998</v>
      </c>
      <c r="E73" s="1" t="s">
        <v>43</v>
      </c>
      <c r="F73" s="1" t="s">
        <v>101</v>
      </c>
      <c r="G73" s="1" t="s">
        <v>47</v>
      </c>
      <c r="H73" s="1" t="s">
        <v>46</v>
      </c>
      <c r="I73" s="1">
        <f t="shared" si="3"/>
        <v>1146</v>
      </c>
      <c r="J73" s="1">
        <f t="shared" si="4"/>
        <v>143</v>
      </c>
      <c r="K73" s="1">
        <f>IF(J73=0,0,ROUND(79.882/143.198,3))</f>
        <v>0.55800000000000005</v>
      </c>
      <c r="L73" s="1">
        <f t="shared" si="5"/>
        <v>0.5</v>
      </c>
      <c r="M73" s="1" t="s">
        <v>47</v>
      </c>
      <c r="N73" t="s">
        <v>48</v>
      </c>
    </row>
    <row r="74" spans="1:14">
      <c r="A74" s="1">
        <v>63</v>
      </c>
      <c r="B74" s="1">
        <v>2037</v>
      </c>
      <c r="C74" s="2" t="s">
        <v>145</v>
      </c>
      <c r="D74" s="1">
        <v>0.64</v>
      </c>
      <c r="E74" s="1" t="s">
        <v>43</v>
      </c>
      <c r="F74" s="1" t="s">
        <v>101</v>
      </c>
      <c r="G74" s="1" t="s">
        <v>114</v>
      </c>
      <c r="H74" s="1" t="s">
        <v>46</v>
      </c>
      <c r="I74" s="1">
        <f t="shared" si="3"/>
        <v>750</v>
      </c>
      <c r="J74" s="1">
        <f t="shared" si="4"/>
        <v>94</v>
      </c>
      <c r="K74" s="1">
        <f>IF(J74=0,0,ROUND(79.882/93.75,3))</f>
        <v>0.85199999999999998</v>
      </c>
      <c r="L74" s="1">
        <f t="shared" si="5"/>
        <v>1</v>
      </c>
      <c r="M74" s="1" t="s">
        <v>47</v>
      </c>
      <c r="N74" t="s">
        <v>48</v>
      </c>
    </row>
    <row r="75" spans="1:14">
      <c r="A75" s="1">
        <v>64</v>
      </c>
      <c r="B75" s="1">
        <v>998</v>
      </c>
      <c r="C75" s="2" t="s">
        <v>146</v>
      </c>
      <c r="D75" s="1">
        <v>0.6</v>
      </c>
      <c r="E75" s="1" t="s">
        <v>63</v>
      </c>
      <c r="F75" s="1" t="s">
        <v>101</v>
      </c>
      <c r="G75" s="1" t="s">
        <v>142</v>
      </c>
      <c r="H75" s="1" t="s">
        <v>75</v>
      </c>
      <c r="I75" s="1">
        <f t="shared" si="3"/>
        <v>800</v>
      </c>
      <c r="J75" s="1">
        <f t="shared" si="4"/>
        <v>100</v>
      </c>
      <c r="K75" s="1">
        <f>IF(J75=0,0,ROUND(79.882/100,3))</f>
        <v>0.79900000000000004</v>
      </c>
      <c r="L75" s="1">
        <f t="shared" si="5"/>
        <v>1</v>
      </c>
      <c r="M75" s="1" t="s">
        <v>47</v>
      </c>
      <c r="N75" t="s">
        <v>48</v>
      </c>
    </row>
    <row r="76" spans="1:14">
      <c r="A76" s="1">
        <v>65</v>
      </c>
      <c r="B76" s="1">
        <v>822</v>
      </c>
      <c r="C76" s="2" t="s">
        <v>147</v>
      </c>
      <c r="D76" s="1">
        <v>0.67500000000000004</v>
      </c>
      <c r="E76" s="1" t="s">
        <v>43</v>
      </c>
      <c r="F76" s="1" t="s">
        <v>101</v>
      </c>
      <c r="G76" s="1" t="s">
        <v>148</v>
      </c>
      <c r="H76" s="1" t="s">
        <v>46</v>
      </c>
      <c r="I76" s="1">
        <f t="shared" si="3"/>
        <v>711</v>
      </c>
      <c r="J76" s="1">
        <f t="shared" si="4"/>
        <v>89</v>
      </c>
      <c r="K76" s="1">
        <f>IF(J76=0,0,ROUND(79.882/88.889,3))</f>
        <v>0.89900000000000002</v>
      </c>
      <c r="L76" s="1">
        <f t="shared" ref="L76:L80" si="6">IF(AND(K76&gt;-0.1,K76&lt;=0.75),0.5,IF(AND(K76&gt;0.75,K76&lt;=1.25),1,IF(AND(K76&gt;1.25,K76&lt;=1.75),1.5,IF(AND(K76&gt;1.75,K76&lt;=2.25),2,IF(AND(K76&gt;2.25,K76&lt;=2.75),2.5,IF(AND(K76&gt;2.75,K76&lt;=3.25),3,IF(AND(K76&gt;3.25,K76&lt;=3.75),3.5,IF(AND(K76&gt;3.75,K76&lt;=4.25),4,IF(AND(K76&gt;4.25,K76&lt;=4.75),4.5,IF(AND(K76&gt;4.75,K76&lt;=5.25),5,IF(AND(K76&gt;5.25,K76&lt;=5.75),5.5,IF(AND(K76&gt;5.75,K76&lt;=6.25),6,IF(AND(K76&gt;6.25,K76&lt;=6.75),6.5,IF(AND(K76&gt;6.75,K76&lt;=7.25),7,IF(AND(K76&gt;7.25,K76&lt;=7.75),7.5,IF(AND(K76&gt;7.75,K76&lt;=8.25),8,IF(AND(K76&gt;8.25,K76&lt;=8.75),8.5,IF(AND(K76&gt;8.75,K76&lt;=9.25),9,IF(AND(K76&gt;9.25,K76&lt;=9.75),9.5,IF(AND(K76&gt;9.75,K76&lt;=10.25),10,11))))))))))))))))))))</f>
        <v>1</v>
      </c>
      <c r="M76" s="1" t="s">
        <v>47</v>
      </c>
      <c r="N76" t="s">
        <v>48</v>
      </c>
    </row>
    <row r="77" spans="1:14">
      <c r="A77" s="1">
        <v>66</v>
      </c>
      <c r="B77" s="1">
        <v>90</v>
      </c>
      <c r="C77" s="2" t="s">
        <v>149</v>
      </c>
      <c r="D77" s="1">
        <v>0.28299999999999997</v>
      </c>
      <c r="E77" s="1" t="s">
        <v>43</v>
      </c>
      <c r="F77" s="1" t="s">
        <v>101</v>
      </c>
      <c r="G77" s="1" t="s">
        <v>65</v>
      </c>
      <c r="H77" s="1" t="s">
        <v>46</v>
      </c>
      <c r="I77" s="1">
        <f t="shared" si="3"/>
        <v>1696</v>
      </c>
      <c r="J77" s="1">
        <f t="shared" si="4"/>
        <v>212</v>
      </c>
      <c r="K77" s="1">
        <f>IF(J77=0,0,ROUND(79.882/212.014,3))</f>
        <v>0.377</v>
      </c>
      <c r="L77" s="1">
        <f t="shared" si="6"/>
        <v>0.5</v>
      </c>
      <c r="M77" s="1" t="s">
        <v>47</v>
      </c>
      <c r="N77" t="s">
        <v>48</v>
      </c>
    </row>
    <row r="78" spans="1:14">
      <c r="A78" s="1">
        <v>67</v>
      </c>
      <c r="B78" s="1">
        <v>12162</v>
      </c>
      <c r="C78" s="2" t="s">
        <v>150</v>
      </c>
      <c r="D78" s="1">
        <v>0.16</v>
      </c>
      <c r="E78" s="1" t="s">
        <v>43</v>
      </c>
      <c r="F78" s="1" t="s">
        <v>101</v>
      </c>
      <c r="G78" s="1" t="s">
        <v>47</v>
      </c>
      <c r="H78" s="1" t="s">
        <v>151</v>
      </c>
      <c r="I78" s="1">
        <f t="shared" si="3"/>
        <v>3000</v>
      </c>
      <c r="J78" s="1">
        <f t="shared" si="4"/>
        <v>375</v>
      </c>
      <c r="K78" s="1">
        <f>IF(J78=0,0,ROUND(79.882/375,3))</f>
        <v>0.21299999999999999</v>
      </c>
      <c r="L78" s="1">
        <f t="shared" si="6"/>
        <v>0.5</v>
      </c>
      <c r="M78" s="1" t="s">
        <v>47</v>
      </c>
      <c r="N78" t="s">
        <v>48</v>
      </c>
    </row>
    <row r="79" spans="1:14">
      <c r="A79" s="1">
        <v>68</v>
      </c>
      <c r="B79" s="1">
        <v>12191</v>
      </c>
      <c r="C79" s="2" t="s">
        <v>152</v>
      </c>
      <c r="D79" s="1">
        <v>1.04</v>
      </c>
      <c r="E79" s="1" t="s">
        <v>43</v>
      </c>
      <c r="F79" s="1" t="s">
        <v>106</v>
      </c>
      <c r="G79" s="1" t="s">
        <v>47</v>
      </c>
      <c r="H79" s="1" t="s">
        <v>153</v>
      </c>
      <c r="I79" s="1">
        <f t="shared" si="3"/>
        <v>462</v>
      </c>
      <c r="J79" s="1">
        <f t="shared" si="4"/>
        <v>58</v>
      </c>
      <c r="K79" s="1">
        <f>IF(J79=0,0,ROUND(79.882/57.692,3))</f>
        <v>1.385</v>
      </c>
      <c r="L79" s="1">
        <f t="shared" si="6"/>
        <v>1.5</v>
      </c>
      <c r="M79" s="1" t="s">
        <v>47</v>
      </c>
      <c r="N79" t="s">
        <v>48</v>
      </c>
    </row>
    <row r="80" spans="1:14">
      <c r="A80" s="1">
        <v>69</v>
      </c>
      <c r="B80" s="1">
        <v>13077</v>
      </c>
      <c r="C80" s="2" t="s">
        <v>154</v>
      </c>
      <c r="D80" s="1">
        <v>1.04</v>
      </c>
      <c r="E80" s="1" t="s">
        <v>43</v>
      </c>
      <c r="F80" s="1" t="s">
        <v>106</v>
      </c>
      <c r="G80" s="1" t="s">
        <v>47</v>
      </c>
      <c r="H80" s="1" t="s">
        <v>155</v>
      </c>
      <c r="I80" s="1">
        <f t="shared" si="3"/>
        <v>462</v>
      </c>
      <c r="J80" s="1">
        <f t="shared" si="4"/>
        <v>58</v>
      </c>
      <c r="K80" s="1">
        <f>IF(J80=0,0,ROUND(79.882/57.692,3))</f>
        <v>1.385</v>
      </c>
      <c r="L80" s="1">
        <f t="shared" si="6"/>
        <v>1.5</v>
      </c>
      <c r="M80" s="1" t="s">
        <v>47</v>
      </c>
      <c r="N80" t="s">
        <v>48</v>
      </c>
    </row>
    <row r="81" spans="1:13">
      <c r="A81" s="10"/>
      <c r="B81" s="10"/>
      <c r="C81" s="11" t="s">
        <v>156</v>
      </c>
      <c r="D81" s="10">
        <v>34.356999999999999</v>
      </c>
      <c r="E81" s="10"/>
      <c r="F81" s="10"/>
      <c r="G81" s="10"/>
      <c r="H81" s="10"/>
      <c r="I81" s="10"/>
      <c r="J81" s="10"/>
      <c r="K81" s="10"/>
      <c r="L81" s="10"/>
      <c r="M81" s="10"/>
    </row>
    <row r="82" spans="1:13">
      <c r="A82" s="12" t="s">
        <v>157</v>
      </c>
      <c r="B82" s="12"/>
      <c r="C82" s="12"/>
      <c r="D82" s="12"/>
      <c r="E82" s="12"/>
      <c r="F82" s="12"/>
      <c r="J82" s="12" t="s">
        <v>164</v>
      </c>
      <c r="K82" s="12"/>
      <c r="L82" s="12"/>
      <c r="M82" s="12"/>
    </row>
    <row r="83" spans="1:13">
      <c r="A83" s="10" t="s">
        <v>48</v>
      </c>
      <c r="B83" s="10" t="s">
        <v>31</v>
      </c>
      <c r="C83" s="11" t="s">
        <v>14</v>
      </c>
      <c r="D83" s="10" t="s">
        <v>158</v>
      </c>
      <c r="E83" s="10" t="s">
        <v>159</v>
      </c>
      <c r="F83" s="10" t="s">
        <v>160</v>
      </c>
      <c r="J83" s="10" t="s">
        <v>165</v>
      </c>
      <c r="K83" s="10" t="s">
        <v>166</v>
      </c>
      <c r="L83" s="10" t="s">
        <v>167</v>
      </c>
      <c r="M83" s="10" t="s">
        <v>168</v>
      </c>
    </row>
    <row r="84" spans="1:13">
      <c r="A84" s="10">
        <v>1</v>
      </c>
      <c r="B84" s="10" t="s">
        <v>46</v>
      </c>
      <c r="C84" s="11">
        <v>13.074</v>
      </c>
      <c r="D84" s="10" t="s">
        <v>161</v>
      </c>
      <c r="E84" s="10">
        <f>SUMIFS(K12:K80,H12:H80,"SNLS UBT")</f>
        <v>17.408999999999999</v>
      </c>
      <c r="F84" s="10">
        <f>SUMIFS(L12:L80,H12:H80,"SNLS UBT")</f>
        <v>17</v>
      </c>
      <c r="J84" s="10" t="s">
        <v>169</v>
      </c>
      <c r="K84" s="10">
        <v>73</v>
      </c>
      <c r="L84" s="10">
        <v>588</v>
      </c>
      <c r="M84" s="10">
        <v>73</v>
      </c>
    </row>
    <row r="85" spans="1:13">
      <c r="A85" s="10">
        <v>2</v>
      </c>
      <c r="B85" s="10" t="s">
        <v>50</v>
      </c>
      <c r="C85" s="11">
        <v>2.2309999999999999</v>
      </c>
      <c r="D85" s="10" t="s">
        <v>162</v>
      </c>
      <c r="E85" s="10">
        <f>SUMIFS(K12:K80,H12:H80,"SNEC")</f>
        <v>2.9699999999999998</v>
      </c>
      <c r="F85" s="10">
        <f>SUMIFS(L12:L80,H12:H80,"SNEC")</f>
        <v>3.5</v>
      </c>
      <c r="J85" s="10" t="s">
        <v>170</v>
      </c>
      <c r="K85" s="10">
        <v>69</v>
      </c>
      <c r="L85" s="10">
        <v>559</v>
      </c>
      <c r="M85" s="10">
        <v>69</v>
      </c>
    </row>
    <row r="86" spans="1:13">
      <c r="A86" s="10">
        <v>3</v>
      </c>
      <c r="B86" s="10" t="s">
        <v>52</v>
      </c>
      <c r="C86" s="11">
        <v>5.7919999999999998</v>
      </c>
      <c r="D86" s="10" t="s">
        <v>69</v>
      </c>
      <c r="E86" s="10">
        <f>SUMIFS(K12:K80,H12:H80,"Press")</f>
        <v>7.7120000000000015</v>
      </c>
      <c r="F86" s="10">
        <f>SUMIFS(L12:L80,H12:H80,"Press")</f>
        <v>8.5</v>
      </c>
      <c r="J86" s="10" t="s">
        <v>171</v>
      </c>
      <c r="K86" s="10">
        <v>66</v>
      </c>
      <c r="L86" s="10">
        <v>529</v>
      </c>
      <c r="M86" s="10">
        <v>66</v>
      </c>
    </row>
    <row r="87" spans="1:13">
      <c r="A87" s="10">
        <v>4</v>
      </c>
      <c r="B87" s="10" t="s">
        <v>69</v>
      </c>
      <c r="C87" s="11">
        <v>1.5249999999999999</v>
      </c>
      <c r="D87" s="10" t="s">
        <v>69</v>
      </c>
      <c r="E87" s="10">
        <f>SUMIFS(K12:K80,H12:H80,"Manual")</f>
        <v>2.0310000000000001</v>
      </c>
      <c r="F87" s="10">
        <f>SUMIFS(L12:L80,H12:H80,"Manual")</f>
        <v>2</v>
      </c>
      <c r="J87" s="10" t="s">
        <v>172</v>
      </c>
      <c r="K87" s="10">
        <v>62</v>
      </c>
      <c r="L87" s="10">
        <v>500</v>
      </c>
      <c r="M87" s="10">
        <v>62</v>
      </c>
    </row>
    <row r="88" spans="1:13">
      <c r="A88" s="10">
        <v>5</v>
      </c>
      <c r="B88" s="10" t="s">
        <v>75</v>
      </c>
      <c r="C88" s="11">
        <v>6.9340000000000002</v>
      </c>
      <c r="D88" s="10" t="s">
        <v>161</v>
      </c>
      <c r="E88" s="10">
        <f>SUMIFS(K12:K80,H12:H80,"SNLS")</f>
        <v>9.2329999999999988</v>
      </c>
      <c r="F88" s="10">
        <f>SUMIFS(L12:L80,H12:H80,"SNLS")</f>
        <v>9.5</v>
      </c>
      <c r="J88" s="10" t="s">
        <v>173</v>
      </c>
      <c r="K88" s="10">
        <v>58</v>
      </c>
      <c r="L88" s="10">
        <v>470</v>
      </c>
      <c r="M88" s="10">
        <v>58</v>
      </c>
    </row>
    <row r="89" spans="1:13">
      <c r="A89" s="10">
        <v>6</v>
      </c>
      <c r="B89" s="10" t="s">
        <v>91</v>
      </c>
      <c r="C89" s="11">
        <v>0.68600000000000005</v>
      </c>
      <c r="D89" s="10" t="s">
        <v>163</v>
      </c>
      <c r="E89" s="10">
        <f>SUMIFS(K12:K80,H12:H80,"XY TACKER")</f>
        <v>0.91300000000000003</v>
      </c>
      <c r="F89" s="10">
        <f>SUMIFS(L12:L80,H12:H80,"XY TACKER")</f>
        <v>1</v>
      </c>
      <c r="J89" s="10" t="s">
        <v>174</v>
      </c>
      <c r="K89" s="10">
        <v>55</v>
      </c>
      <c r="L89" s="10">
        <v>441</v>
      </c>
      <c r="M89" s="10">
        <v>55</v>
      </c>
    </row>
    <row r="90" spans="1:13">
      <c r="A90" s="10">
        <v>7</v>
      </c>
      <c r="B90" s="10" t="s">
        <v>99</v>
      </c>
      <c r="C90" s="11">
        <v>0.68600000000000005</v>
      </c>
      <c r="D90" s="10" t="s">
        <v>161</v>
      </c>
      <c r="E90" s="10">
        <f>SUMIFS(K12:K80,H12:H80,"DNLS")</f>
        <v>0.91300000000000003</v>
      </c>
      <c r="F90" s="10">
        <f>SUMIFS(L12:L80,H12:H80,"DNLS")</f>
        <v>1</v>
      </c>
      <c r="J90" s="10" t="s">
        <v>175</v>
      </c>
      <c r="K90" s="10">
        <v>51</v>
      </c>
      <c r="L90" s="10">
        <v>412</v>
      </c>
      <c r="M90" s="10">
        <v>51</v>
      </c>
    </row>
    <row r="91" spans="1:13">
      <c r="A91" s="10">
        <v>8</v>
      </c>
      <c r="B91" s="10" t="s">
        <v>135</v>
      </c>
      <c r="C91" s="11">
        <v>1.1890000000000001</v>
      </c>
      <c r="D91" s="10" t="s">
        <v>161</v>
      </c>
      <c r="E91" s="10">
        <f>SUMIFS(K12:K80,H12:H80,"5Th O/L	")</f>
        <v>1.583</v>
      </c>
      <c r="F91" s="10">
        <f>SUMIFS(L12:L80,H12:H80,"5Th O/L	")</f>
        <v>1.5</v>
      </c>
      <c r="J91" s="10" t="s">
        <v>176</v>
      </c>
      <c r="K91" s="10">
        <v>47</v>
      </c>
      <c r="L91" s="10">
        <v>382</v>
      </c>
      <c r="M91" s="10">
        <v>47</v>
      </c>
    </row>
    <row r="92" spans="1:13">
      <c r="A92" s="10">
        <v>9</v>
      </c>
      <c r="B92" s="10" t="s">
        <v>151</v>
      </c>
      <c r="C92" s="11">
        <v>0.16</v>
      </c>
      <c r="D92" s="10" t="s">
        <v>163</v>
      </c>
      <c r="E92" s="10">
        <f>SUMIFS(K12:K80,H12:H80,"BARTACK")</f>
        <v>0.21299999999999999</v>
      </c>
      <c r="F92" s="10">
        <f>SUMIFS(L12:L80,H12:H80,"BARTACK")</f>
        <v>0.5</v>
      </c>
    </row>
    <row r="93" spans="1:13">
      <c r="A93" s="10">
        <v>10</v>
      </c>
      <c r="B93" s="10" t="s">
        <v>153</v>
      </c>
      <c r="C93" s="11">
        <v>1.04</v>
      </c>
      <c r="D93" s="10" t="s">
        <v>163</v>
      </c>
      <c r="E93" s="10">
        <f>SUMIFS(K12:K80,H12:H80,"BUTTON ATTACH")</f>
        <v>1.385</v>
      </c>
      <c r="F93" s="10">
        <f>SUMIFS(L12:L80,H12:H80,"BUTTON ATTACH")</f>
        <v>1.5</v>
      </c>
    </row>
    <row r="94" spans="1:13">
      <c r="A94" s="10">
        <v>11</v>
      </c>
      <c r="B94" s="10" t="s">
        <v>155</v>
      </c>
      <c r="C94" s="11">
        <v>1.04</v>
      </c>
      <c r="D94" s="10" t="s">
        <v>163</v>
      </c>
      <c r="E94" s="10">
        <f>SUMIFS(K12:K80,H12:H80,"BUTTON HOLE")</f>
        <v>1.385</v>
      </c>
      <c r="F94" s="10">
        <f>SUMIFS(L12:L80,H12:H80,"BUTTON HOLE")</f>
        <v>1.5</v>
      </c>
    </row>
    <row r="97" spans="1:7">
      <c r="A97" s="13" t="s">
        <v>177</v>
      </c>
      <c r="B97" s="13"/>
      <c r="C97" s="13"/>
      <c r="D97" s="13"/>
      <c r="E97" s="13"/>
      <c r="F97" s="13"/>
      <c r="G97" s="13"/>
    </row>
  </sheetData>
  <mergeCells count="45">
    <mergeCell ref="A1:G2"/>
    <mergeCell ref="H1:N2"/>
    <mergeCell ref="A3:D3"/>
    <mergeCell ref="E3:I3"/>
    <mergeCell ref="J3:N3"/>
    <mergeCell ref="M4:N4"/>
    <mergeCell ref="A5:B5"/>
    <mergeCell ref="C5:D5"/>
    <mergeCell ref="E5:G5"/>
    <mergeCell ref="H5:I5"/>
    <mergeCell ref="J5:L5"/>
    <mergeCell ref="M5:N5"/>
    <mergeCell ref="A4:B4"/>
    <mergeCell ref="C4:D4"/>
    <mergeCell ref="E4:G4"/>
    <mergeCell ref="H4:I4"/>
    <mergeCell ref="J4:L4"/>
    <mergeCell ref="M6:N6"/>
    <mergeCell ref="A7:B7"/>
    <mergeCell ref="C7:D7"/>
    <mergeCell ref="E7:G7"/>
    <mergeCell ref="H7:I7"/>
    <mergeCell ref="J7:L7"/>
    <mergeCell ref="M7:N7"/>
    <mergeCell ref="A6:B6"/>
    <mergeCell ref="C6:D6"/>
    <mergeCell ref="E6:G6"/>
    <mergeCell ref="H6:I6"/>
    <mergeCell ref="J6:L6"/>
    <mergeCell ref="C8:D8"/>
    <mergeCell ref="E8:G8"/>
    <mergeCell ref="H8:I8"/>
    <mergeCell ref="J8:L8"/>
    <mergeCell ref="M8:N8"/>
    <mergeCell ref="A82:F82"/>
    <mergeCell ref="J82:M82"/>
    <mergeCell ref="A97:G97"/>
    <mergeCell ref="C9:D9"/>
    <mergeCell ref="H9:I9"/>
    <mergeCell ref="J9:L9"/>
    <mergeCell ref="M9:N9"/>
    <mergeCell ref="E10:G10"/>
    <mergeCell ref="H10:I10"/>
    <mergeCell ref="J10:L10"/>
    <mergeCell ref="M10:N10"/>
  </mergeCells>
  <dataValidations disablePrompts="1" count="1">
    <dataValidation type="list" allowBlank="1" showInputMessage="1" showErrorMessage="1" sqref="H10">
      <formula1>"Only Operator, Both Helper and Operator"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105GF.IE</cp:lastModifiedBy>
  <dcterms:created xsi:type="dcterms:W3CDTF">2015-06-05T18:17:20Z</dcterms:created>
  <dcterms:modified xsi:type="dcterms:W3CDTF">2026-04-22T09:50:30Z</dcterms:modified>
</cp:coreProperties>
</file>