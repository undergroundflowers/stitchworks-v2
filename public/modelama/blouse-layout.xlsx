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3"/>
  </bookViews>
  <sheets>
    <sheet name="785101" sheetId="3" r:id="rId1"/>
    <sheet name="CRITICAL" sheetId="4" r:id="rId2"/>
    <sheet name="NSR" sheetId="5" r:id="rId3"/>
    <sheet name="ob" sheetId="6" r:id="rId4"/>
  </sheets>
  <definedNames>
    <definedName name="_xlnm.Print_Area" localSheetId="0">'785101'!$A$1:$G$105</definedName>
    <definedName name="_xlnm.Print_Area" localSheetId="1">CRITICAL!$A$1:$H$10</definedName>
    <definedName name="_xlnm.Print_Area" localSheetId="2">NSR!$A$1:$K$58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/>
  <c r="G94"/>
  <c r="G95"/>
  <c r="G96"/>
  <c r="G97"/>
  <c r="G98"/>
  <c r="G99"/>
  <c r="G100"/>
  <c r="G101"/>
  <c r="G102"/>
  <c r="G93"/>
  <c r="J55" i="6"/>
  <c r="K55" s="1"/>
  <c r="I55"/>
  <c r="J54"/>
  <c r="K54" s="1"/>
  <c r="I54"/>
  <c r="J53"/>
  <c r="K53" s="1"/>
  <c r="I53"/>
  <c r="J52"/>
  <c r="K52" s="1"/>
  <c r="L52" s="1"/>
  <c r="I52"/>
  <c r="J51"/>
  <c r="K51" s="1"/>
  <c r="L51" s="1"/>
  <c r="I51"/>
  <c r="J50"/>
  <c r="K50" s="1"/>
  <c r="L50" s="1"/>
  <c r="I50"/>
  <c r="J49"/>
  <c r="K49" s="1"/>
  <c r="L49" s="1"/>
  <c r="I49"/>
  <c r="J48"/>
  <c r="K48" s="1"/>
  <c r="L48" s="1"/>
  <c r="I48"/>
  <c r="J47"/>
  <c r="K47" s="1"/>
  <c r="L47" s="1"/>
  <c r="I47"/>
  <c r="J46"/>
  <c r="K46" s="1"/>
  <c r="I46"/>
  <c r="J45"/>
  <c r="K45" s="1"/>
  <c r="L45" s="1"/>
  <c r="I45"/>
  <c r="J44"/>
  <c r="K44" s="1"/>
  <c r="L44" s="1"/>
  <c r="I44"/>
  <c r="J43"/>
  <c r="K43" s="1"/>
  <c r="L43" s="1"/>
  <c r="I43"/>
  <c r="J42"/>
  <c r="K42" s="1"/>
  <c r="L42" s="1"/>
  <c r="I42"/>
  <c r="J41"/>
  <c r="K41" s="1"/>
  <c r="L41" s="1"/>
  <c r="I41"/>
  <c r="J40"/>
  <c r="K40" s="1"/>
  <c r="L40" s="1"/>
  <c r="I40"/>
  <c r="J39"/>
  <c r="K39" s="1"/>
  <c r="L39" s="1"/>
  <c r="I39"/>
  <c r="J38"/>
  <c r="K38" s="1"/>
  <c r="L38" s="1"/>
  <c r="I38"/>
  <c r="J37"/>
  <c r="K37" s="1"/>
  <c r="L37" s="1"/>
  <c r="I37"/>
  <c r="J36"/>
  <c r="K36" s="1"/>
  <c r="L36" s="1"/>
  <c r="I36"/>
  <c r="J35"/>
  <c r="K35" s="1"/>
  <c r="L35" s="1"/>
  <c r="I35"/>
  <c r="J34"/>
  <c r="K34" s="1"/>
  <c r="L34" s="1"/>
  <c r="I34"/>
  <c r="J33"/>
  <c r="K33" s="1"/>
  <c r="L33" s="1"/>
  <c r="I33"/>
  <c r="J32"/>
  <c r="K32" s="1"/>
  <c r="L32" s="1"/>
  <c r="I32"/>
  <c r="K31"/>
  <c r="E64" s="1"/>
  <c r="J31"/>
  <c r="I31"/>
  <c r="J30"/>
  <c r="K30" s="1"/>
  <c r="L30" s="1"/>
  <c r="I30"/>
  <c r="J29"/>
  <c r="K29" s="1"/>
  <c r="L29" s="1"/>
  <c r="I29"/>
  <c r="J28"/>
  <c r="K28" s="1"/>
  <c r="L28" s="1"/>
  <c r="I28"/>
  <c r="J27"/>
  <c r="K27" s="1"/>
  <c r="L27" s="1"/>
  <c r="I27"/>
  <c r="J26"/>
  <c r="K26" s="1"/>
  <c r="L26" s="1"/>
  <c r="I26"/>
  <c r="J25"/>
  <c r="K25" s="1"/>
  <c r="L25" s="1"/>
  <c r="I25"/>
  <c r="J24"/>
  <c r="K24" s="1"/>
  <c r="L24" s="1"/>
  <c r="I24"/>
  <c r="J23"/>
  <c r="K23" s="1"/>
  <c r="L23" s="1"/>
  <c r="I23"/>
  <c r="J22"/>
  <c r="K22" s="1"/>
  <c r="L22" s="1"/>
  <c r="I22"/>
  <c r="J21"/>
  <c r="K21" s="1"/>
  <c r="L21" s="1"/>
  <c r="I21"/>
  <c r="J20"/>
  <c r="K20" s="1"/>
  <c r="L20" s="1"/>
  <c r="I20"/>
  <c r="J19"/>
  <c r="K19" s="1"/>
  <c r="L19" s="1"/>
  <c r="I19"/>
  <c r="J18"/>
  <c r="K18" s="1"/>
  <c r="L18" s="1"/>
  <c r="I18"/>
  <c r="J17"/>
  <c r="K17" s="1"/>
  <c r="I17"/>
  <c r="J16"/>
  <c r="K16" s="1"/>
  <c r="I16"/>
  <c r="J15"/>
  <c r="K15" s="1"/>
  <c r="I15"/>
  <c r="J14"/>
  <c r="K14" s="1"/>
  <c r="I14"/>
  <c r="J13"/>
  <c r="K13" s="1"/>
  <c r="I13"/>
  <c r="M7"/>
  <c r="M8" s="1"/>
  <c r="E62" l="1"/>
  <c r="E60"/>
  <c r="E59"/>
  <c r="E61"/>
  <c r="E63"/>
  <c r="L46"/>
  <c r="H10"/>
  <c r="E65"/>
  <c r="L53"/>
  <c r="F65" s="1"/>
  <c r="E66"/>
  <c r="L54"/>
  <c r="F66" s="1"/>
  <c r="E67"/>
  <c r="L55"/>
  <c r="F67" s="1"/>
  <c r="H8"/>
  <c r="M9"/>
  <c r="M10" s="1"/>
  <c r="L13"/>
  <c r="L14"/>
  <c r="F60" s="1"/>
  <c r="L15"/>
  <c r="L16"/>
  <c r="F62" s="1"/>
  <c r="L17"/>
  <c r="F63" s="1"/>
  <c r="L31"/>
  <c r="F64" s="1"/>
  <c r="F61" l="1"/>
  <c r="H7"/>
  <c r="F59"/>
  <c r="H5"/>
  <c r="H6" s="1"/>
  <c r="C18" i="5" l="1"/>
  <c r="G103" i="3" l="1"/>
</calcChain>
</file>

<file path=xl/sharedStrings.xml><?xml version="1.0" encoding="utf-8"?>
<sst xmlns="http://schemas.openxmlformats.org/spreadsheetml/2006/main" count="672" uniqueCount="321">
  <si>
    <t>MACHINE LAYOUT</t>
  </si>
  <si>
    <t>DESCRIPTION</t>
  </si>
  <si>
    <t>LINE NO.</t>
  </si>
  <si>
    <t>MACHINE</t>
  </si>
  <si>
    <t>Style No.</t>
  </si>
  <si>
    <t>MACHINE SMV</t>
  </si>
  <si>
    <t>Buyer</t>
  </si>
  <si>
    <t>No of Work Stations:-</t>
  </si>
  <si>
    <t>Quantity</t>
  </si>
  <si>
    <t>FINAL INSPECTION TABLE</t>
  </si>
  <si>
    <t>Target 8 Hrs @ 60%</t>
  </si>
  <si>
    <t>OPERATION</t>
  </si>
  <si>
    <t>CODE NO.</t>
  </si>
  <si>
    <t>TYPE OF M/C</t>
  </si>
  <si>
    <t>LOADING</t>
  </si>
  <si>
    <t>SUMMARY</t>
  </si>
  <si>
    <t>1   Final Layout                 -</t>
  </si>
  <si>
    <t>MR. AKIL KHAN</t>
  </si>
  <si>
    <t>SR.INDUSTRIAL ENGG.</t>
  </si>
  <si>
    <t>MR.ANIL KUMAR</t>
  </si>
  <si>
    <t>1   Initial Layout                 -</t>
  </si>
  <si>
    <t>HD</t>
  </si>
  <si>
    <t>IRON</t>
  </si>
  <si>
    <t>SNEC</t>
  </si>
  <si>
    <t>TABLE</t>
  </si>
  <si>
    <t>SNLS</t>
  </si>
  <si>
    <t>TOTAL</t>
  </si>
  <si>
    <t>SPECIAL</t>
  </si>
  <si>
    <t>3TH O/L</t>
  </si>
  <si>
    <t>4TH O/L</t>
  </si>
  <si>
    <t>P.M</t>
  </si>
  <si>
    <t>SHIRT</t>
  </si>
  <si>
    <t xml:space="preserve">CRITICAL OPERATION </t>
  </si>
  <si>
    <t xml:space="preserve">STYLE NO </t>
  </si>
  <si>
    <t>BUYER</t>
  </si>
  <si>
    <t>NEW STYLE REQUIREMENT SHEET</t>
  </si>
  <si>
    <t xml:space="preserve">STYLE NO :- </t>
  </si>
  <si>
    <t>ORDER QTY :-</t>
  </si>
  <si>
    <t>No. of lines</t>
  </si>
  <si>
    <t>in</t>
  </si>
  <si>
    <t>out</t>
  </si>
  <si>
    <t>DATE</t>
  </si>
  <si>
    <t>Plan load date:-</t>
  </si>
  <si>
    <t xml:space="preserve">BUYER :- </t>
  </si>
  <si>
    <t>PCD Date</t>
  </si>
  <si>
    <t>Area :- Maintenance</t>
  </si>
  <si>
    <t>garment design</t>
  </si>
  <si>
    <t>Particulars</t>
  </si>
  <si>
    <t>Type of machines</t>
  </si>
  <si>
    <t>Required m/c</t>
  </si>
  <si>
    <t>Type of M/c</t>
  </si>
  <si>
    <t>By Whom</t>
  </si>
  <si>
    <t>Remarks</t>
  </si>
  <si>
    <t>PHOTO</t>
  </si>
  <si>
    <t>PLAIN BOOT</t>
  </si>
  <si>
    <t>Machines</t>
  </si>
  <si>
    <t>Maint</t>
  </si>
  <si>
    <t xml:space="preserve">Before the line setting </t>
  </si>
  <si>
    <t>please set machine thread tension before start the operation and check on same wastage fabric and verify to line supervisor and line Qc.</t>
  </si>
  <si>
    <t>DN</t>
  </si>
  <si>
    <t>3TH-O/L</t>
  </si>
  <si>
    <t xml:space="preserve">condition should be </t>
  </si>
  <si>
    <t>5TH-O/L</t>
  </si>
  <si>
    <t>available on floor</t>
  </si>
  <si>
    <t>4TH-O/L</t>
  </si>
  <si>
    <t>PM &amp; Floor Mechanic</t>
  </si>
  <si>
    <t>MNCS</t>
  </si>
  <si>
    <t>should be ensure it.</t>
  </si>
  <si>
    <t>CR 1/32"</t>
  </si>
  <si>
    <t>FLAT LOCK</t>
  </si>
  <si>
    <t>Sample fabric must be</t>
  </si>
  <si>
    <t>provided to the mechanic</t>
  </si>
  <si>
    <t>by PM to set the M/Cs</t>
  </si>
  <si>
    <t>CL 1/32"</t>
  </si>
  <si>
    <t>TOTAL M/Cs</t>
  </si>
  <si>
    <t xml:space="preserve">In house store must </t>
  </si>
  <si>
    <t>arrange prior line setting</t>
  </si>
  <si>
    <t>Type Of Needle SNLS</t>
  </si>
  <si>
    <t>Dbx1</t>
  </si>
  <si>
    <t>11-NO</t>
  </si>
  <si>
    <t>Type Of Needle O/L</t>
  </si>
  <si>
    <t>Dcx1</t>
  </si>
  <si>
    <t>Type Of Needle F/L</t>
  </si>
  <si>
    <t>UY128</t>
  </si>
  <si>
    <t>All M/c.Needle ball point only</t>
  </si>
  <si>
    <t>Area :-IE/R&amp;D</t>
  </si>
  <si>
    <t>Throat Plate</t>
  </si>
  <si>
    <t>E-12/13</t>
  </si>
  <si>
    <t>Rcvd By</t>
  </si>
  <si>
    <t>Chkd By</t>
  </si>
  <si>
    <t>Tech Pack/Style File</t>
  </si>
  <si>
    <t>Merchant</t>
  </si>
  <si>
    <t>P.M.</t>
  </si>
  <si>
    <t>Industrial Engg &amp; Technician</t>
  </si>
  <si>
    <t>Feed Dog</t>
  </si>
  <si>
    <t xml:space="preserve"> Teflon feeddog.</t>
  </si>
  <si>
    <t>Floor Mechanic must</t>
  </si>
  <si>
    <t>must read it</t>
  </si>
  <si>
    <t xml:space="preserve">light metal </t>
  </si>
  <si>
    <t>check it during line setting</t>
  </si>
  <si>
    <t>Patterns</t>
  </si>
  <si>
    <t>All patterns should be</t>
  </si>
  <si>
    <t>Binder</t>
  </si>
  <si>
    <t xml:space="preserve">P.M must check it whether </t>
  </si>
  <si>
    <t>checked by technician</t>
  </si>
  <si>
    <t>it is available in house store</t>
  </si>
  <si>
    <t>Metal Template</t>
  </si>
  <si>
    <t>Pattern Mast</t>
  </si>
  <si>
    <t xml:space="preserve">If not all the necessary </t>
  </si>
  <si>
    <t>Attachments/Work Aids</t>
  </si>
  <si>
    <t xml:space="preserve">M.P.S  should be raised </t>
  </si>
  <si>
    <t>R&amp;D/IE Bulletin (Sewing)</t>
  </si>
  <si>
    <t>IED</t>
  </si>
  <si>
    <t>Must be give P.M</t>
  </si>
  <si>
    <t>before time, so at the time</t>
  </si>
  <si>
    <t xml:space="preserve"> of line setting it should be </t>
  </si>
  <si>
    <t>IE Bulletin (Finishing)</t>
  </si>
  <si>
    <t>available to concerned</t>
  </si>
  <si>
    <t>(After 2 days bulk prod.</t>
  </si>
  <si>
    <t>Jigs, Dies &amp; Profiles</t>
  </si>
  <si>
    <t>Anti-curling</t>
  </si>
  <si>
    <t>NA</t>
  </si>
  <si>
    <t>floor in charge.</t>
  </si>
  <si>
    <t>Layouts</t>
  </si>
  <si>
    <t>SPI</t>
  </si>
  <si>
    <t>09--10</t>
  </si>
  <si>
    <t>F/L</t>
  </si>
  <si>
    <t>Plastic Markers</t>
  </si>
  <si>
    <t>line setting as per O.B</t>
  </si>
  <si>
    <t xml:space="preserve">O/L </t>
  </si>
  <si>
    <t>13--14</t>
  </si>
  <si>
    <t>Area :- Quality DEPT.</t>
  </si>
  <si>
    <t>In Line Dummy Rqd</t>
  </si>
  <si>
    <t>YES</t>
  </si>
  <si>
    <t>Q.A Dept &amp; P.M</t>
  </si>
  <si>
    <t>In Line</t>
  </si>
  <si>
    <t xml:space="preserve">Method of processing should </t>
  </si>
  <si>
    <t>Presser/checker</t>
  </si>
  <si>
    <t>QA</t>
  </si>
  <si>
    <t>be explained by I.E &amp; Tech</t>
  </si>
  <si>
    <t>Rqd Temp</t>
  </si>
  <si>
    <t>Prod Q.A must check it</t>
  </si>
  <si>
    <t>On daily basis</t>
  </si>
  <si>
    <t>Mini Marker for</t>
  </si>
  <si>
    <t xml:space="preserve">Should be hand over to </t>
  </si>
  <si>
    <t>Off Line Dummy Rqd</t>
  </si>
  <si>
    <t>NO</t>
  </si>
  <si>
    <t>Stamp Placement</t>
  </si>
  <si>
    <t>cutting dept, prior bulk cut</t>
  </si>
  <si>
    <t>Sealed Sample</t>
  </si>
  <si>
    <t>OAD / R&amp;D.</t>
  </si>
  <si>
    <t>Sealed sample must be</t>
  </si>
  <si>
    <t>BUCKS Rqd</t>
  </si>
  <si>
    <t>P.M. Must Ensure it</t>
  </si>
  <si>
    <t>available on floor during bulk</t>
  </si>
  <si>
    <t>Critical Operations Group</t>
  </si>
  <si>
    <t>prod. Need to trained further</t>
  </si>
  <si>
    <t>Training should be start</t>
  </si>
  <si>
    <t>before line setting</t>
  </si>
  <si>
    <t>IN LINE MOCKS</t>
  </si>
  <si>
    <t>In charge/ qc.</t>
  </si>
  <si>
    <t>Q.A must check it &amp; sign it</t>
  </si>
  <si>
    <t>All the markers &amp; template</t>
  </si>
  <si>
    <t>should be get ready before</t>
  </si>
  <si>
    <t>***</t>
  </si>
  <si>
    <t>Margin Guide &amp; Anti-Curling must be used where it is necessory.</t>
  </si>
  <si>
    <t>Btn Placket Crease</t>
  </si>
  <si>
    <t>Btn Hole Placket Crease</t>
  </si>
  <si>
    <t>Front button placket attach &amp; close</t>
  </si>
  <si>
    <t>SN</t>
  </si>
  <si>
    <t>Front button hole placket attach &amp; close</t>
  </si>
  <si>
    <t>Front shoulder mark &amp; shirring</t>
  </si>
  <si>
    <t xml:space="preserve">Shoulder join single panel  </t>
  </si>
  <si>
    <t>Shoulder overlock</t>
  </si>
  <si>
    <t>Shoulder overlock &amp; Side seam join body only *2</t>
  </si>
  <si>
    <t>OL5</t>
  </si>
  <si>
    <t>Sleeve opening mark and -cut v notch for slit</t>
  </si>
  <si>
    <t>Sleeve slit vent stay stitch *4</t>
  </si>
  <si>
    <t>Sleeve vent binding</t>
  </si>
  <si>
    <t>Sleeve vent v tack bottom *2</t>
  </si>
  <si>
    <t>Sleeve cap mark &amp; shear</t>
  </si>
  <si>
    <t>Sleeve inseam join</t>
  </si>
  <si>
    <t>Slevee MarK &amp; Match</t>
  </si>
  <si>
    <t>Sleeve attach round</t>
  </si>
  <si>
    <t>Armhole overlock Round</t>
  </si>
  <si>
    <t>Neck band run stitch inner &amp; outer edge</t>
  </si>
  <si>
    <t>Neck band extra margin re-cut both side</t>
  </si>
  <si>
    <t>E/C</t>
  </si>
  <si>
    <t xml:space="preserve">Neck band crease hem </t>
  </si>
  <si>
    <t>Neck band crease hem  &amp; Neck band 2nd stitch remove</t>
  </si>
  <si>
    <t>Neck band  pick make with end trim</t>
  </si>
  <si>
    <t>Neck band turn and final press</t>
  </si>
  <si>
    <t>Re-cut collar at bottom to attach neck</t>
  </si>
  <si>
    <t>Collar mark ready &amp; pair with body</t>
  </si>
  <si>
    <t xml:space="preserve">Neck band attach at neck line </t>
  </si>
  <si>
    <t xml:space="preserve">Neck band finish with edge stitch all around </t>
  </si>
  <si>
    <t>Back  Neck Mark &amp; Shear</t>
  </si>
  <si>
    <t xml:space="preserve">Cuff crease and mark for tacking </t>
  </si>
  <si>
    <t>Cuff corner tack with trim &amp; turn</t>
  </si>
  <si>
    <t>Sleeve opening mark &amp; shirr *2</t>
  </si>
  <si>
    <t xml:space="preserve">Cuff attach </t>
  </si>
  <si>
    <t>Cuff close with edge stitch all over</t>
  </si>
  <si>
    <t>Bottom recut</t>
  </si>
  <si>
    <t>Bottom hem  S T</t>
  </si>
  <si>
    <t xml:space="preserve">Main label  make and mark attach </t>
  </si>
  <si>
    <t>PRODUCTION OB</t>
  </si>
  <si>
    <t>Modelama Export</t>
  </si>
  <si>
    <t>Operation BreakDown For Production Stage</t>
  </si>
  <si>
    <t>Style Details and SMV</t>
  </si>
  <si>
    <t>Work Station and Manpower</t>
  </si>
  <si>
    <t>Efficiency and Output</t>
  </si>
  <si>
    <t>Style</t>
  </si>
  <si>
    <t>785101 BLOUSE</t>
  </si>
  <si>
    <t>Total Work Stations</t>
  </si>
  <si>
    <t>Plan Efficiency(%)</t>
  </si>
  <si>
    <t>Customer</t>
  </si>
  <si>
    <t>Ann Taylor</t>
  </si>
  <si>
    <t>Machine WorkStation</t>
  </si>
  <si>
    <t>Min Per Day</t>
  </si>
  <si>
    <t>Description</t>
  </si>
  <si>
    <t>BLOUSE</t>
  </si>
  <si>
    <t>Manual WorkStation</t>
  </si>
  <si>
    <t>O/P @100 %</t>
  </si>
  <si>
    <t>SMV</t>
  </si>
  <si>
    <t>Total Manpower</t>
  </si>
  <si>
    <t xml:space="preserve"> O/P @ Plan Efficiency</t>
  </si>
  <si>
    <t>Machine SMV</t>
  </si>
  <si>
    <t>No of Operator</t>
  </si>
  <si>
    <t>Output/Hour @ 100%</t>
  </si>
  <si>
    <t>Manual SMV</t>
  </si>
  <si>
    <t>No Of Helper</t>
  </si>
  <si>
    <t>Output/Hour at Planned Eff</t>
  </si>
  <si>
    <t>Balancing Based On</t>
  </si>
  <si>
    <t>Only Operator</t>
  </si>
  <si>
    <t>Made By</t>
  </si>
  <si>
    <t>md_user02</t>
  </si>
  <si>
    <t>SeqNo</t>
  </si>
  <si>
    <t>OPNO</t>
  </si>
  <si>
    <t>Status</t>
  </si>
  <si>
    <t>SubSection</t>
  </si>
  <si>
    <t>Work-Aid</t>
  </si>
  <si>
    <t>Machine</t>
  </si>
  <si>
    <t>Target /Day @100</t>
  </si>
  <si>
    <t>PCS/HR.</t>
  </si>
  <si>
    <t>Man.Req.</t>
  </si>
  <si>
    <t>Planned W/S</t>
  </si>
  <si>
    <t>IsHelper</t>
  </si>
  <si>
    <t>P</t>
  </si>
  <si>
    <t>Neck Band</t>
  </si>
  <si>
    <t>Jig Profile</t>
  </si>
  <si>
    <t>SNLS UBT</t>
  </si>
  <si>
    <t/>
  </si>
  <si>
    <t>No</t>
  </si>
  <si>
    <t>Template</t>
  </si>
  <si>
    <t>Press</t>
  </si>
  <si>
    <t>Yes</t>
  </si>
  <si>
    <t>Neck band 2nd stitch remove</t>
  </si>
  <si>
    <t>Manual</t>
  </si>
  <si>
    <t>template</t>
  </si>
  <si>
    <t>pattern</t>
  </si>
  <si>
    <t>Front panel mark &amp; re-cut</t>
  </si>
  <si>
    <t>Front</t>
  </si>
  <si>
    <t>Back panel mark &amp; re-cut</t>
  </si>
  <si>
    <t>E</t>
  </si>
  <si>
    <t>Back</t>
  </si>
  <si>
    <t>Sleeve panel mark &amp; re-cut *2</t>
  </si>
  <si>
    <t>Sleeve</t>
  </si>
  <si>
    <t>Placket join and trim</t>
  </si>
  <si>
    <t>ST.Folder</t>
  </si>
  <si>
    <t>Pattern</t>
  </si>
  <si>
    <t>sew-Guide</t>
  </si>
  <si>
    <t>piping join*1</t>
  </si>
  <si>
    <t>Assembly</t>
  </si>
  <si>
    <t>28mm binder</t>
  </si>
  <si>
    <t>Shirring foot</t>
  </si>
  <si>
    <t>OL Guide</t>
  </si>
  <si>
    <t xml:space="preserve">5Th O/L	</t>
  </si>
  <si>
    <t>Cuff</t>
  </si>
  <si>
    <t>Sew-Guide</t>
  </si>
  <si>
    <t>Upper Body Assembly</t>
  </si>
  <si>
    <t>Side seam join body only *2</t>
  </si>
  <si>
    <t>Armhole stay stitch</t>
  </si>
  <si>
    <t>3-corner guide</t>
  </si>
  <si>
    <t>OL guide</t>
  </si>
  <si>
    <t>Sewing Guide</t>
  </si>
  <si>
    <t>1/16"CL</t>
  </si>
  <si>
    <t xml:space="preserve">Neck line stay stitch </t>
  </si>
  <si>
    <t>sewing guide</t>
  </si>
  <si>
    <t>1/32"CL</t>
  </si>
  <si>
    <t xml:space="preserve"> Bottom hmr</t>
  </si>
  <si>
    <t>Wash care label  make and mark attach</t>
  </si>
  <si>
    <t>Button attach *9</t>
  </si>
  <si>
    <t>BUTTON ATTACH</t>
  </si>
  <si>
    <t>Button hole *9</t>
  </si>
  <si>
    <t>BUTTON HOLE</t>
  </si>
  <si>
    <t>Button shanking *9</t>
  </si>
  <si>
    <t>Shanking</t>
  </si>
  <si>
    <t>Total SMV :</t>
  </si>
  <si>
    <t>Machine Summary</t>
  </si>
  <si>
    <t>Target And Capacity</t>
  </si>
  <si>
    <t>Type</t>
  </si>
  <si>
    <t>Req.Opr</t>
  </si>
  <si>
    <t>M/C.Req.</t>
  </si>
  <si>
    <t>Target(100%)</t>
  </si>
  <si>
    <t>Capacity/Hr.</t>
  </si>
  <si>
    <t>PCS@ 8 Hr.</t>
  </si>
  <si>
    <t>PRDCTY</t>
  </si>
  <si>
    <t>sewing</t>
  </si>
  <si>
    <t>100</t>
  </si>
  <si>
    <t>Sewing</t>
  </si>
  <si>
    <t>95</t>
  </si>
  <si>
    <t>90</t>
  </si>
  <si>
    <t>85</t>
  </si>
  <si>
    <t>80</t>
  </si>
  <si>
    <t>75</t>
  </si>
  <si>
    <t>Special</t>
  </si>
  <si>
    <t>70</t>
  </si>
  <si>
    <t>65</t>
  </si>
  <si>
    <t>Methods Apparel Consultancy India Pvt Ltd(Pro-SMV)</t>
  </si>
  <si>
    <t>ANN TAILOR</t>
  </si>
  <si>
    <t>LOFT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</si>
</sst>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4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2"/>
      <name val="Times New Roman"/>
      <family val="1"/>
    </font>
    <font>
      <sz val="36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18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sz val="9"/>
      <color theme="1"/>
      <name val="Times New Roman"/>
      <family val="1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11"/>
      <name val="Times New Roman"/>
      <family val="1"/>
    </font>
    <font>
      <sz val="9"/>
      <color theme="1"/>
      <name val="Calibri"/>
      <family val="2"/>
      <scheme val="minor"/>
    </font>
    <font>
      <sz val="9"/>
      <color indexed="8"/>
      <name val="Times New Roman"/>
      <family val="1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name val="Arial"/>
      <family val="2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11"/>
      <color indexed="8"/>
      <name val="Calibri"/>
      <family val="2"/>
      <charset val="134"/>
    </font>
    <font>
      <b/>
      <u/>
      <sz val="20"/>
      <color rgb="FFFFFF00"/>
      <name val="Times New Roman"/>
      <family val="1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b/>
      <sz val="8"/>
      <color rgb="FF000000"/>
      <name val="Times New Roman"/>
      <family val="1"/>
    </font>
    <font>
      <sz val="8"/>
      <color indexed="8"/>
      <name val="Times New Roman"/>
      <family val="1"/>
    </font>
    <font>
      <sz val="8"/>
      <name val="Times New Roman"/>
      <family val="1"/>
    </font>
    <font>
      <b/>
      <sz val="8"/>
      <color rgb="FF002060"/>
      <name val="Times New Roman"/>
      <family val="1"/>
    </font>
    <font>
      <sz val="9"/>
      <color rgb="FFFF0000"/>
      <name val="Times New Roman"/>
      <family val="1"/>
    </font>
    <font>
      <b/>
      <sz val="22"/>
      <color theme="1"/>
      <name val="Calibri"/>
      <family val="2"/>
      <scheme val="minor"/>
    </font>
    <font>
      <b/>
      <sz val="18"/>
      <color theme="1"/>
      <name val="Perpetua"/>
      <family val="1"/>
    </font>
    <font>
      <b/>
      <i/>
      <sz val="14"/>
      <color theme="1"/>
      <name val="Perpetua"/>
      <family val="1"/>
    </font>
    <font>
      <b/>
      <sz val="11"/>
      <color theme="1"/>
      <name val="Perpetua"/>
      <family val="1"/>
    </font>
    <font>
      <sz val="11"/>
      <color theme="1"/>
      <name val="Perpet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0070C0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7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35"/>
      </patternFill>
    </fill>
    <fill>
      <patternFill patternType="solid">
        <fgColor indexed="9"/>
        <bgColor indexed="3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/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hair">
        <color indexed="8"/>
      </top>
      <bottom style="medium">
        <color indexed="8"/>
      </bottom>
      <diagonal/>
    </border>
    <border>
      <left/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9" fillId="0" borderId="0">
      <alignment vertical="center"/>
    </xf>
    <xf numFmtId="0" fontId="19" fillId="0" borderId="0"/>
  </cellStyleXfs>
  <cellXfs count="343">
    <xf numFmtId="0" fontId="0" fillId="0" borderId="0" xfId="0"/>
    <xf numFmtId="0" fontId="3" fillId="0" borderId="3" xfId="0" applyFont="1" applyBorder="1"/>
    <xf numFmtId="0" fontId="4" fillId="0" borderId="5" xfId="1" applyFont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/>
    </xf>
    <xf numFmtId="0" fontId="5" fillId="2" borderId="9" xfId="1" applyFont="1" applyFill="1" applyBorder="1"/>
    <xf numFmtId="0" fontId="4" fillId="0" borderId="10" xfId="1" applyFont="1" applyBorder="1" applyAlignment="1">
      <alignment horizontal="center"/>
    </xf>
    <xf numFmtId="0" fontId="6" fillId="0" borderId="0" xfId="0" applyFont="1" applyBorder="1"/>
    <xf numFmtId="0" fontId="4" fillId="0" borderId="11" xfId="1" applyFont="1" applyBorder="1"/>
    <xf numFmtId="0" fontId="7" fillId="0" borderId="0" xfId="1" applyFont="1" applyBorder="1"/>
    <xf numFmtId="0" fontId="4" fillId="0" borderId="12" xfId="1" applyFont="1" applyBorder="1"/>
    <xf numFmtId="2" fontId="4" fillId="0" borderId="13" xfId="1" applyNumberFormat="1" applyFont="1" applyBorder="1" applyAlignment="1">
      <alignment horizontal="center" vertical="center"/>
    </xf>
    <xf numFmtId="0" fontId="4" fillId="0" borderId="1" xfId="1" applyFont="1" applyBorder="1"/>
    <xf numFmtId="0" fontId="4" fillId="0" borderId="14" xfId="1" applyFont="1" applyBorder="1" applyAlignment="1">
      <alignment horizontal="center"/>
    </xf>
    <xf numFmtId="0" fontId="7" fillId="0" borderId="3" xfId="1" applyFont="1" applyBorder="1"/>
    <xf numFmtId="0" fontId="4" fillId="0" borderId="14" xfId="1" applyFont="1" applyBorder="1"/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/>
    <xf numFmtId="0" fontId="4" fillId="0" borderId="17" xfId="1" applyFont="1" applyBorder="1" applyAlignment="1">
      <alignment horizontal="center" vertical="center"/>
    </xf>
    <xf numFmtId="0" fontId="4" fillId="0" borderId="20" xfId="1" applyFont="1" applyBorder="1"/>
    <xf numFmtId="1" fontId="4" fillId="0" borderId="21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0" borderId="22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13" fillId="0" borderId="25" xfId="1" applyFont="1" applyFill="1" applyBorder="1" applyAlignment="1">
      <alignment horizontal="center" vertical="center"/>
    </xf>
    <xf numFmtId="0" fontId="14" fillId="5" borderId="26" xfId="0" applyFont="1" applyFill="1" applyBorder="1" applyAlignment="1" applyProtection="1">
      <alignment horizontal="left"/>
      <protection locked="0"/>
    </xf>
    <xf numFmtId="0" fontId="4" fillId="0" borderId="16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 textRotation="90"/>
    </xf>
    <xf numFmtId="0" fontId="11" fillId="4" borderId="16" xfId="0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6" fillId="3" borderId="13" xfId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horizontal="center" vertical="center"/>
    </xf>
    <xf numFmtId="0" fontId="5" fillId="4" borderId="0" xfId="1" applyFont="1" applyFill="1" applyBorder="1" applyAlignment="1">
      <alignment horizontal="center" vertical="center"/>
    </xf>
    <xf numFmtId="0" fontId="16" fillId="4" borderId="13" xfId="1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6" fillId="4" borderId="0" xfId="0" applyFont="1" applyFill="1" applyBorder="1"/>
    <xf numFmtId="0" fontId="15" fillId="4" borderId="30" xfId="0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4" fillId="4" borderId="19" xfId="1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/>
    </xf>
    <xf numFmtId="0" fontId="4" fillId="4" borderId="0" xfId="1" applyFont="1" applyFill="1" applyBorder="1" applyAlignment="1">
      <alignment horizontal="center" vertical="center"/>
    </xf>
    <xf numFmtId="0" fontId="12" fillId="4" borderId="16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center" vertical="center"/>
    </xf>
    <xf numFmtId="0" fontId="12" fillId="6" borderId="33" xfId="1" applyFont="1" applyFill="1" applyBorder="1" applyAlignment="1">
      <alignment horizontal="center" vertical="center"/>
    </xf>
    <xf numFmtId="0" fontId="5" fillId="6" borderId="0" xfId="1" applyFont="1" applyFill="1" applyBorder="1" applyAlignment="1">
      <alignment horizontal="center" vertical="center"/>
    </xf>
    <xf numFmtId="0" fontId="7" fillId="6" borderId="0" xfId="1" applyFont="1" applyFill="1" applyBorder="1" applyAlignment="1">
      <alignment horizontal="center" vertical="center" textRotation="180" wrapText="1"/>
    </xf>
    <xf numFmtId="0" fontId="11" fillId="4" borderId="22" xfId="0" applyFont="1" applyFill="1" applyBorder="1" applyAlignment="1">
      <alignment horizontal="center" vertical="center"/>
    </xf>
    <xf numFmtId="0" fontId="12" fillId="6" borderId="34" xfId="1" applyFont="1" applyFill="1" applyBorder="1" applyAlignment="1">
      <alignment horizontal="center"/>
    </xf>
    <xf numFmtId="0" fontId="17" fillId="6" borderId="10" xfId="1" applyFont="1" applyFill="1" applyBorder="1" applyAlignment="1">
      <alignment horizontal="center" vertical="center"/>
    </xf>
    <xf numFmtId="0" fontId="12" fillId="3" borderId="29" xfId="1" applyFont="1" applyFill="1" applyBorder="1" applyAlignment="1">
      <alignment horizontal="center"/>
    </xf>
    <xf numFmtId="0" fontId="15" fillId="0" borderId="16" xfId="0" applyFont="1" applyBorder="1"/>
    <xf numFmtId="0" fontId="15" fillId="0" borderId="0" xfId="0" applyFont="1" applyBorder="1"/>
    <xf numFmtId="0" fontId="7" fillId="0" borderId="16" xfId="1" applyFont="1" applyBorder="1"/>
    <xf numFmtId="0" fontId="4" fillId="0" borderId="0" xfId="1" applyFont="1" applyBorder="1"/>
    <xf numFmtId="0" fontId="4" fillId="0" borderId="16" xfId="1" applyFont="1" applyBorder="1" applyAlignment="1">
      <alignment horizontal="left"/>
    </xf>
    <xf numFmtId="0" fontId="4" fillId="0" borderId="16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7" fillId="0" borderId="35" xfId="1" applyFont="1" applyBorder="1"/>
    <xf numFmtId="0" fontId="4" fillId="0" borderId="35" xfId="1" applyFont="1" applyBorder="1"/>
    <xf numFmtId="0" fontId="4" fillId="0" borderId="28" xfId="1" applyFont="1" applyBorder="1" applyAlignment="1">
      <alignment horizontal="center"/>
    </xf>
    <xf numFmtId="0" fontId="0" fillId="0" borderId="16" xfId="0" applyBorder="1"/>
    <xf numFmtId="0" fontId="0" fillId="0" borderId="0" xfId="0" applyBorder="1"/>
    <xf numFmtId="0" fontId="15" fillId="0" borderId="24" xfId="0" applyFont="1" applyFill="1" applyBorder="1" applyAlignment="1">
      <alignment textRotation="90"/>
    </xf>
    <xf numFmtId="0" fontId="8" fillId="4" borderId="10" xfId="0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 textRotation="90"/>
    </xf>
    <xf numFmtId="0" fontId="5" fillId="0" borderId="24" xfId="1" applyFont="1" applyFill="1" applyBorder="1" applyAlignment="1">
      <alignment horizontal="center" vertical="center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>
      <alignment horizontal="center" vertical="center"/>
    </xf>
    <xf numFmtId="0" fontId="5" fillId="6" borderId="27" xfId="1" applyFont="1" applyFill="1" applyBorder="1" applyAlignment="1">
      <alignment horizontal="center" vertical="center"/>
    </xf>
    <xf numFmtId="0" fontId="5" fillId="6" borderId="22" xfId="1" applyFont="1" applyFill="1" applyBorder="1" applyAlignment="1">
      <alignment horizontal="center" vertical="center"/>
    </xf>
    <xf numFmtId="1" fontId="4" fillId="0" borderId="8" xfId="1" applyNumberFormat="1" applyFont="1" applyBorder="1" applyAlignment="1">
      <alignment horizontal="center"/>
    </xf>
    <xf numFmtId="0" fontId="5" fillId="0" borderId="24" xfId="1" applyFont="1" applyFill="1" applyBorder="1" applyAlignment="1">
      <alignment horizontal="center" vertical="center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Border="1" applyAlignment="1">
      <alignment horizontal="center" vertical="center"/>
    </xf>
    <xf numFmtId="0" fontId="15" fillId="0" borderId="24" xfId="0" applyFont="1" applyFill="1" applyBorder="1" applyAlignment="1"/>
    <xf numFmtId="0" fontId="15" fillId="0" borderId="27" xfId="0" applyFont="1" applyFill="1" applyBorder="1" applyAlignment="1"/>
    <xf numFmtId="0" fontId="12" fillId="0" borderId="27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 textRotation="2"/>
    </xf>
    <xf numFmtId="0" fontId="5" fillId="0" borderId="24" xfId="1" applyFont="1" applyFill="1" applyBorder="1" applyAlignment="1">
      <alignment horizontal="center" vertical="center" textRotation="2"/>
    </xf>
    <xf numFmtId="0" fontId="15" fillId="0" borderId="24" xfId="0" applyFont="1" applyFill="1" applyBorder="1" applyAlignment="1">
      <alignment textRotation="2"/>
    </xf>
    <xf numFmtId="0" fontId="12" fillId="0" borderId="24" xfId="1" applyFont="1" applyFill="1" applyBorder="1" applyAlignment="1">
      <alignment horizontal="center" vertical="center" textRotation="2"/>
    </xf>
    <xf numFmtId="0" fontId="12" fillId="0" borderId="27" xfId="1" applyFont="1" applyFill="1" applyBorder="1" applyAlignment="1">
      <alignment horizontal="center" vertical="center" textRotation="2"/>
    </xf>
    <xf numFmtId="0" fontId="12" fillId="0" borderId="27" xfId="1" applyFont="1" applyFill="1" applyBorder="1" applyAlignment="1">
      <alignment horizontal="center" vertical="center" textRotation="2" wrapText="1"/>
    </xf>
    <xf numFmtId="0" fontId="12" fillId="0" borderId="32" xfId="1" applyFont="1" applyFill="1" applyBorder="1" applyAlignment="1">
      <alignment horizontal="center" vertical="center" textRotation="2"/>
    </xf>
    <xf numFmtId="0" fontId="5" fillId="3" borderId="0" xfId="1" applyFont="1" applyFill="1" applyBorder="1" applyAlignment="1">
      <alignment vertical="center"/>
    </xf>
    <xf numFmtId="0" fontId="4" fillId="0" borderId="0" xfId="1" applyFont="1" applyFill="1" applyBorder="1"/>
    <xf numFmtId="0" fontId="9" fillId="4" borderId="0" xfId="0" applyFont="1" applyFill="1" applyBorder="1" applyAlignment="1" applyProtection="1">
      <alignment vertical="center"/>
      <protection locked="0"/>
    </xf>
    <xf numFmtId="0" fontId="5" fillId="3" borderId="36" xfId="1" applyFont="1" applyFill="1" applyBorder="1" applyAlignment="1">
      <alignment horizontal="center"/>
    </xf>
    <xf numFmtId="0" fontId="18" fillId="0" borderId="0" xfId="0" applyFont="1" applyBorder="1"/>
    <xf numFmtId="0" fontId="17" fillId="0" borderId="37" xfId="1" applyFont="1" applyBorder="1"/>
    <xf numFmtId="0" fontId="7" fillId="0" borderId="8" xfId="1" applyFont="1" applyBorder="1"/>
    <xf numFmtId="0" fontId="7" fillId="0" borderId="8" xfId="1" applyFont="1" applyBorder="1" applyAlignment="1">
      <alignment horizontal="center" vertical="center"/>
    </xf>
    <xf numFmtId="0" fontId="9" fillId="4" borderId="8" xfId="0" applyFont="1" applyFill="1" applyBorder="1" applyAlignment="1" applyProtection="1">
      <alignment vertical="center"/>
      <protection locked="0"/>
    </xf>
    <xf numFmtId="0" fontId="17" fillId="0" borderId="8" xfId="1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vertical="center"/>
    </xf>
    <xf numFmtId="0" fontId="23" fillId="4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7" fillId="0" borderId="0" xfId="0" applyFont="1" applyBorder="1" applyAlignment="1">
      <alignment horizontal="center" vertical="center"/>
    </xf>
    <xf numFmtId="0" fontId="31" fillId="0" borderId="42" xfId="4" applyFont="1" applyBorder="1">
      <alignment vertical="center"/>
    </xf>
    <xf numFmtId="1" fontId="31" fillId="8" borderId="43" xfId="4" applyNumberFormat="1" applyFont="1" applyFill="1" applyBorder="1" applyAlignment="1">
      <alignment horizontal="center" vertical="center"/>
    </xf>
    <xf numFmtId="0" fontId="31" fillId="8" borderId="43" xfId="4" applyFont="1" applyFill="1" applyBorder="1" applyAlignment="1">
      <alignment horizontal="center" vertical="center"/>
    </xf>
    <xf numFmtId="0" fontId="31" fillId="0" borderId="43" xfId="4" applyFont="1" applyBorder="1" applyAlignment="1">
      <alignment horizontal="center" vertical="center" wrapText="1"/>
    </xf>
    <xf numFmtId="0" fontId="31" fillId="9" borderId="43" xfId="4" applyFont="1" applyFill="1" applyBorder="1" applyAlignment="1">
      <alignment horizontal="center" vertical="center"/>
    </xf>
    <xf numFmtId="0" fontId="32" fillId="9" borderId="0" xfId="5" applyFont="1" applyFill="1" applyAlignment="1">
      <alignment horizontal="center" vertical="center"/>
    </xf>
    <xf numFmtId="16" fontId="31" fillId="0" borderId="46" xfId="4" applyNumberFormat="1" applyFont="1" applyBorder="1" applyAlignment="1">
      <alignment horizontal="left" vertical="center"/>
    </xf>
    <xf numFmtId="16" fontId="31" fillId="8" borderId="47" xfId="4" applyNumberFormat="1" applyFont="1" applyFill="1" applyBorder="1" applyAlignment="1">
      <alignment horizontal="center" vertical="center"/>
    </xf>
    <xf numFmtId="0" fontId="31" fillId="0" borderId="43" xfId="4" applyFont="1" applyBorder="1">
      <alignment vertical="center"/>
    </xf>
    <xf numFmtId="16" fontId="31" fillId="9" borderId="43" xfId="4" applyNumberFormat="1" applyFont="1" applyFill="1" applyBorder="1" applyAlignment="1">
      <alignment horizontal="center" vertical="center"/>
    </xf>
    <xf numFmtId="0" fontId="31" fillId="0" borderId="48" xfId="4" applyFont="1" applyBorder="1" applyAlignment="1">
      <alignment horizontal="center" vertical="center" wrapText="1"/>
    </xf>
    <xf numFmtId="0" fontId="31" fillId="0" borderId="49" xfId="4" applyFont="1" applyBorder="1">
      <alignment vertical="center"/>
    </xf>
    <xf numFmtId="49" fontId="31" fillId="8" borderId="50" xfId="4" applyNumberFormat="1" applyFont="1" applyFill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 wrapText="1"/>
    </xf>
    <xf numFmtId="0" fontId="31" fillId="9" borderId="50" xfId="4" applyFont="1" applyFill="1" applyBorder="1" applyAlignment="1">
      <alignment horizontal="center" vertical="center"/>
    </xf>
    <xf numFmtId="16" fontId="31" fillId="9" borderId="50" xfId="4" applyNumberFormat="1" applyFont="1" applyFill="1" applyBorder="1" applyAlignment="1">
      <alignment horizontal="center" vertical="center"/>
    </xf>
    <xf numFmtId="164" fontId="31" fillId="9" borderId="50" xfId="4" applyNumberFormat="1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 vertical="center" wrapText="1"/>
    </xf>
    <xf numFmtId="0" fontId="31" fillId="0" borderId="59" xfId="4" applyFont="1" applyBorder="1" applyAlignment="1">
      <alignment horizontal="center" vertical="center" wrapText="1"/>
    </xf>
    <xf numFmtId="0" fontId="31" fillId="0" borderId="60" xfId="4" applyFont="1" applyBorder="1" applyAlignment="1">
      <alignment horizontal="center" vertical="center" wrapText="1"/>
    </xf>
    <xf numFmtId="0" fontId="35" fillId="12" borderId="64" xfId="4" applyFont="1" applyFill="1" applyBorder="1" applyAlignment="1">
      <alignment horizontal="center" vertical="center"/>
    </xf>
    <xf numFmtId="1" fontId="35" fillId="13" borderId="43" xfId="4" applyNumberFormat="1" applyFont="1" applyFill="1" applyBorder="1" applyAlignment="1">
      <alignment horizontal="center" vertical="center"/>
    </xf>
    <xf numFmtId="1" fontId="31" fillId="14" borderId="43" xfId="4" applyNumberFormat="1" applyFont="1" applyFill="1" applyBorder="1" applyAlignment="1">
      <alignment horizontal="center" vertical="center"/>
    </xf>
    <xf numFmtId="14" fontId="31" fillId="0" borderId="43" xfId="4" applyNumberFormat="1" applyFont="1" applyBorder="1" applyAlignment="1">
      <alignment horizontal="center" vertical="center"/>
    </xf>
    <xf numFmtId="0" fontId="35" fillId="0" borderId="66" xfId="4" applyFont="1" applyBorder="1" applyAlignment="1">
      <alignment horizontal="left" vertical="center"/>
    </xf>
    <xf numFmtId="0" fontId="35" fillId="0" borderId="43" xfId="4" applyFont="1" applyBorder="1" applyAlignment="1">
      <alignment horizontal="center" vertical="center"/>
    </xf>
    <xf numFmtId="0" fontId="35" fillId="0" borderId="48" xfId="4" applyFont="1" applyBorder="1" applyAlignment="1">
      <alignment horizontal="center" vertical="center" wrapText="1"/>
    </xf>
    <xf numFmtId="1" fontId="35" fillId="13" borderId="45" xfId="4" applyNumberFormat="1" applyFont="1" applyFill="1" applyBorder="1" applyAlignment="1">
      <alignment horizontal="center" vertical="center"/>
    </xf>
    <xf numFmtId="0" fontId="35" fillId="0" borderId="60" xfId="4" applyFont="1" applyBorder="1" applyAlignment="1">
      <alignment horizontal="center" vertical="center" wrapText="1"/>
    </xf>
    <xf numFmtId="0" fontId="35" fillId="0" borderId="66" xfId="4" applyFont="1" applyBorder="1" applyAlignment="1">
      <alignment horizontal="center" vertical="center"/>
    </xf>
    <xf numFmtId="1" fontId="35" fillId="0" borderId="45" xfId="4" applyNumberFormat="1" applyFont="1" applyBorder="1" applyAlignment="1">
      <alignment horizontal="center" vertical="center"/>
    </xf>
    <xf numFmtId="1" fontId="31" fillId="2" borderId="43" xfId="4" applyNumberFormat="1" applyFont="1" applyFill="1" applyBorder="1" applyAlignment="1">
      <alignment horizontal="center" vertical="center"/>
    </xf>
    <xf numFmtId="14" fontId="31" fillId="2" borderId="43" xfId="4" applyNumberFormat="1" applyFont="1" applyFill="1" applyBorder="1" applyAlignment="1">
      <alignment horizontal="center" vertical="center"/>
    </xf>
    <xf numFmtId="1" fontId="31" fillId="0" borderId="45" xfId="4" applyNumberFormat="1" applyFont="1" applyBorder="1" applyAlignment="1">
      <alignment horizontal="center" vertical="center" wrapText="1"/>
    </xf>
    <xf numFmtId="1" fontId="35" fillId="0" borderId="71" xfId="4" applyNumberFormat="1" applyFont="1" applyBorder="1" applyAlignment="1">
      <alignment horizontal="center" vertical="center"/>
    </xf>
    <xf numFmtId="1" fontId="35" fillId="0" borderId="43" xfId="4" applyNumberFormat="1" applyFont="1" applyBorder="1" applyAlignment="1">
      <alignment horizontal="center" vertical="center"/>
    </xf>
    <xf numFmtId="0" fontId="31" fillId="0" borderId="43" xfId="4" applyFont="1" applyBorder="1" applyAlignment="1">
      <alignment horizontal="center" vertical="center"/>
    </xf>
    <xf numFmtId="0" fontId="35" fillId="12" borderId="59" xfId="4" applyFont="1" applyFill="1" applyBorder="1" applyAlignment="1">
      <alignment horizontal="center" vertical="center" wrapText="1"/>
    </xf>
    <xf numFmtId="0" fontId="35" fillId="13" borderId="43" xfId="4" applyFont="1" applyFill="1" applyBorder="1" applyAlignment="1">
      <alignment horizontal="center" vertical="center"/>
    </xf>
    <xf numFmtId="0" fontId="31" fillId="13" borderId="43" xfId="4" applyFont="1" applyFill="1" applyBorder="1" applyAlignment="1">
      <alignment horizontal="center" vertical="center"/>
    </xf>
    <xf numFmtId="0" fontId="35" fillId="0" borderId="72" xfId="4" applyFont="1" applyBorder="1" applyAlignment="1">
      <alignment horizontal="left" vertical="center"/>
    </xf>
    <xf numFmtId="0" fontId="35" fillId="0" borderId="73" xfId="4" applyFont="1" applyBorder="1" applyAlignment="1">
      <alignment horizontal="center" vertical="center"/>
    </xf>
    <xf numFmtId="0" fontId="35" fillId="0" borderId="74" xfId="4" applyFont="1" applyBorder="1" applyAlignment="1">
      <alignment horizontal="center" vertical="center" wrapText="1"/>
    </xf>
    <xf numFmtId="0" fontId="35" fillId="0" borderId="0" xfId="4" applyFont="1" applyAlignment="1">
      <alignment horizontal="center" vertical="center"/>
    </xf>
    <xf numFmtId="14" fontId="31" fillId="0" borderId="45" xfId="4" applyNumberFormat="1" applyFont="1" applyBorder="1" applyAlignment="1">
      <alignment horizontal="center" vertical="center"/>
    </xf>
    <xf numFmtId="0" fontId="35" fillId="15" borderId="44" xfId="4" applyFont="1" applyFill="1" applyBorder="1" applyAlignment="1">
      <alignment horizontal="center" vertical="center"/>
    </xf>
    <xf numFmtId="0" fontId="35" fillId="0" borderId="45" xfId="4" applyFont="1" applyBorder="1" applyAlignment="1">
      <alignment horizontal="center" vertical="center" wrapText="1"/>
    </xf>
    <xf numFmtId="0" fontId="35" fillId="0" borderId="43" xfId="4" applyFont="1" applyBorder="1" applyAlignment="1">
      <alignment horizontal="center" vertical="center" wrapText="1"/>
    </xf>
    <xf numFmtId="0" fontId="35" fillId="0" borderId="59" xfId="4" applyFont="1" applyBorder="1" applyAlignment="1">
      <alignment horizontal="center" vertical="center" wrapText="1"/>
    </xf>
    <xf numFmtId="0" fontId="31" fillId="0" borderId="45" xfId="4" applyFont="1" applyBorder="1" applyAlignment="1">
      <alignment horizontal="center" vertical="center"/>
    </xf>
    <xf numFmtId="0" fontId="35" fillId="12" borderId="45" xfId="4" applyFont="1" applyFill="1" applyBorder="1" applyAlignment="1">
      <alignment horizontal="center" vertical="center"/>
    </xf>
    <xf numFmtId="0" fontId="35" fillId="15" borderId="43" xfId="4" applyFont="1" applyFill="1" applyBorder="1" applyAlignment="1">
      <alignment horizontal="center" vertical="center" wrapText="1"/>
    </xf>
    <xf numFmtId="0" fontId="31" fillId="0" borderId="78" xfId="4" applyFont="1" applyBorder="1" applyAlignment="1">
      <alignment horizontal="center" vertical="center"/>
    </xf>
    <xf numFmtId="0" fontId="35" fillId="0" borderId="45" xfId="4" applyFont="1" applyBorder="1" applyAlignment="1">
      <alignment horizontal="center" vertical="center"/>
    </xf>
    <xf numFmtId="0" fontId="31" fillId="15" borderId="44" xfId="4" applyFont="1" applyFill="1" applyBorder="1" applyAlignment="1">
      <alignment horizontal="center" vertical="center"/>
    </xf>
    <xf numFmtId="0" fontId="35" fillId="12" borderId="45" xfId="4" applyFont="1" applyFill="1" applyBorder="1" applyAlignment="1">
      <alignment horizontal="center" vertical="center" wrapText="1"/>
    </xf>
    <xf numFmtId="0" fontId="35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5" fillId="13" borderId="59" xfId="4" applyFont="1" applyFill="1" applyBorder="1" applyAlignment="1">
      <alignment horizontal="center" vertical="center"/>
    </xf>
    <xf numFmtId="16" fontId="35" fillId="13" borderId="43" xfId="4" applyNumberFormat="1" applyFont="1" applyFill="1" applyBorder="1" applyAlignment="1">
      <alignment horizontal="center" vertical="center"/>
    </xf>
    <xf numFmtId="2" fontId="35" fillId="13" borderId="43" xfId="4" applyNumberFormat="1" applyFont="1" applyFill="1" applyBorder="1" applyAlignment="1">
      <alignment horizontal="center" vertical="center"/>
    </xf>
    <xf numFmtId="0" fontId="35" fillId="13" borderId="49" xfId="4" applyFont="1" applyFill="1" applyBorder="1" applyAlignment="1">
      <alignment horizontal="center" vertical="center"/>
    </xf>
    <xf numFmtId="0" fontId="35" fillId="13" borderId="73" xfId="4" applyFont="1" applyFill="1" applyBorder="1" applyAlignment="1">
      <alignment horizontal="center" vertical="center"/>
    </xf>
    <xf numFmtId="0" fontId="35" fillId="0" borderId="79" xfId="4" applyFont="1" applyBorder="1" applyAlignment="1">
      <alignment horizontal="center" vertical="center" wrapText="1"/>
    </xf>
    <xf numFmtId="0" fontId="35" fillId="12" borderId="52" xfId="4" applyFont="1" applyFill="1" applyBorder="1" applyAlignment="1">
      <alignment horizontal="center" vertical="center"/>
    </xf>
    <xf numFmtId="0" fontId="31" fillId="0" borderId="73" xfId="4" applyFont="1" applyBorder="1" applyAlignment="1">
      <alignment horizontal="center" vertical="center"/>
    </xf>
    <xf numFmtId="0" fontId="35" fillId="12" borderId="59" xfId="4" applyFont="1" applyFill="1" applyBorder="1" applyAlignment="1">
      <alignment horizontal="center" vertical="center"/>
    </xf>
    <xf numFmtId="0" fontId="35" fillId="17" borderId="43" xfId="4" applyFont="1" applyFill="1" applyBorder="1" applyAlignment="1">
      <alignment horizontal="center" vertical="center"/>
    </xf>
    <xf numFmtId="0" fontId="31" fillId="17" borderId="43" xfId="4" applyFont="1" applyFill="1" applyBorder="1" applyAlignment="1">
      <alignment horizontal="center" vertical="center"/>
    </xf>
    <xf numFmtId="0" fontId="35" fillId="12" borderId="43" xfId="4" applyFont="1" applyFill="1" applyBorder="1" applyAlignment="1">
      <alignment horizontal="center" vertical="center"/>
    </xf>
    <xf numFmtId="0" fontId="35" fillId="0" borderId="59" xfId="4" applyFont="1" applyBorder="1" applyAlignment="1">
      <alignment horizontal="center" vertical="center"/>
    </xf>
    <xf numFmtId="0" fontId="31" fillId="15" borderId="43" xfId="4" applyFont="1" applyFill="1" applyBorder="1" applyAlignment="1">
      <alignment horizontal="center" vertical="center"/>
    </xf>
    <xf numFmtId="0" fontId="35" fillId="0" borderId="43" xfId="4" applyFont="1" applyBorder="1">
      <alignment vertical="center"/>
    </xf>
    <xf numFmtId="0" fontId="35" fillId="19" borderId="43" xfId="4" applyFont="1" applyFill="1" applyBorder="1" applyAlignment="1">
      <alignment horizontal="center" vertical="center"/>
    </xf>
    <xf numFmtId="0" fontId="35" fillId="0" borderId="83" xfId="4" applyFont="1" applyBorder="1" applyAlignment="1">
      <alignment horizontal="center" vertical="center" wrapText="1"/>
    </xf>
    <xf numFmtId="0" fontId="35" fillId="0" borderId="50" xfId="4" applyFont="1" applyBorder="1" applyAlignment="1">
      <alignment horizontal="center" vertical="center"/>
    </xf>
    <xf numFmtId="0" fontId="35" fillId="0" borderId="50" xfId="4" applyFont="1" applyBorder="1" applyAlignment="1">
      <alignment horizontal="center" vertical="center" wrapText="1"/>
    </xf>
    <xf numFmtId="0" fontId="35" fillId="19" borderId="50" xfId="4" applyFont="1" applyFill="1" applyBorder="1" applyAlignment="1">
      <alignment horizontal="center" vertical="center"/>
    </xf>
    <xf numFmtId="0" fontId="35" fillId="0" borderId="50" xfId="4" applyFont="1" applyBorder="1">
      <alignment vertical="center"/>
    </xf>
    <xf numFmtId="0" fontId="35" fillId="0" borderId="53" xfId="4" applyFont="1" applyBorder="1" applyAlignment="1">
      <alignment horizontal="center" vertical="center" wrapText="1"/>
    </xf>
    <xf numFmtId="0" fontId="35" fillId="0" borderId="86" xfId="4" applyFont="1" applyBorder="1" applyAlignment="1">
      <alignment horizontal="center" vertical="center"/>
    </xf>
    <xf numFmtId="0" fontId="35" fillId="0" borderId="9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0" fontId="31" fillId="0" borderId="0" xfId="4" applyFont="1" applyAlignment="1">
      <alignment horizontal="center" vertical="center"/>
    </xf>
    <xf numFmtId="0" fontId="31" fillId="0" borderId="0" xfId="4" applyFont="1" applyAlignment="1">
      <alignment horizontal="center" vertical="center" wrapText="1"/>
    </xf>
    <xf numFmtId="0" fontId="31" fillId="0" borderId="0" xfId="4" applyFont="1" applyAlignment="1">
      <alignment horizontal="left" vertical="center"/>
    </xf>
    <xf numFmtId="0" fontId="37" fillId="4" borderId="10" xfId="0" applyFont="1" applyFill="1" applyBorder="1" applyAlignment="1">
      <alignment horizontal="center" vertical="center"/>
    </xf>
    <xf numFmtId="0" fontId="41" fillId="23" borderId="8" xfId="0" applyFont="1" applyFill="1" applyBorder="1" applyAlignment="1">
      <alignment vertical="center"/>
    </xf>
    <xf numFmtId="0" fontId="41" fillId="24" borderId="8" xfId="0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41" fillId="22" borderId="8" xfId="0" applyFont="1" applyFill="1" applyBorder="1" applyAlignment="1">
      <alignment horizontal="center" vertical="center"/>
    </xf>
    <xf numFmtId="0" fontId="41" fillId="22" borderId="8" xfId="0" applyFont="1" applyFill="1" applyBorder="1" applyAlignment="1">
      <alignment horizontal="left" vertical="center"/>
    </xf>
    <xf numFmtId="0" fontId="41" fillId="21" borderId="8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left" vertical="center"/>
    </xf>
    <xf numFmtId="0" fontId="0" fillId="0" borderId="8" xfId="0" applyBorder="1"/>
    <xf numFmtId="0" fontId="0" fillId="16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0" borderId="0" xfId="2" applyFont="1" applyFill="1" applyBorder="1" applyAlignment="1">
      <alignment horizontal="left"/>
    </xf>
    <xf numFmtId="0" fontId="11" fillId="16" borderId="10" xfId="0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 textRotation="2"/>
    </xf>
    <xf numFmtId="0" fontId="5" fillId="0" borderId="22" xfId="1" applyFont="1" applyFill="1" applyBorder="1" applyAlignment="1">
      <alignment horizontal="center" vertical="center" textRotation="2"/>
    </xf>
    <xf numFmtId="0" fontId="12" fillId="0" borderId="30" xfId="1" applyFont="1" applyFill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12" fillId="0" borderId="29" xfId="1" applyFont="1" applyFill="1" applyBorder="1" applyAlignment="1">
      <alignment horizontal="center"/>
    </xf>
    <xf numFmtId="0" fontId="12" fillId="0" borderId="28" xfId="1" applyFont="1" applyFill="1" applyBorder="1" applyAlignment="1">
      <alignment horizontal="center"/>
    </xf>
    <xf numFmtId="0" fontId="12" fillId="0" borderId="30" xfId="1" applyFont="1" applyFill="1" applyBorder="1" applyAlignment="1">
      <alignment horizontal="right" vertical="center"/>
    </xf>
    <xf numFmtId="0" fontId="12" fillId="0" borderId="4" xfId="1" applyFont="1" applyFill="1" applyBorder="1" applyAlignment="1">
      <alignment horizontal="right" vertical="center"/>
    </xf>
    <xf numFmtId="0" fontId="12" fillId="0" borderId="29" xfId="1" applyFont="1" applyFill="1" applyBorder="1" applyAlignment="1">
      <alignment horizontal="right" vertical="center"/>
    </xf>
    <xf numFmtId="0" fontId="12" fillId="0" borderId="28" xfId="1" applyFont="1" applyFill="1" applyBorder="1" applyAlignment="1">
      <alignment horizontal="right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horizontal="center" vertical="center"/>
    </xf>
    <xf numFmtId="0" fontId="4" fillId="0" borderId="35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5" fillId="6" borderId="30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6" borderId="16" xfId="1" applyFont="1" applyFill="1" applyBorder="1" applyAlignment="1">
      <alignment horizontal="center" vertical="center"/>
    </xf>
    <xf numFmtId="0" fontId="5" fillId="6" borderId="0" xfId="1" applyFont="1" applyFill="1" applyBorder="1" applyAlignment="1">
      <alignment horizontal="center" vertical="center"/>
    </xf>
    <xf numFmtId="0" fontId="5" fillId="6" borderId="1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12" fillId="0" borderId="30" xfId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/>
    </xf>
    <xf numFmtId="0" fontId="12" fillId="0" borderId="29" xfId="1" applyFont="1" applyFill="1" applyBorder="1" applyAlignment="1">
      <alignment horizontal="center" vertical="center"/>
    </xf>
    <xf numFmtId="0" fontId="12" fillId="0" borderId="28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right" vertical="center"/>
    </xf>
    <xf numFmtId="0" fontId="12" fillId="0" borderId="13" xfId="1" applyFont="1" applyFill="1" applyBorder="1" applyAlignment="1">
      <alignment horizontal="right" vertical="center"/>
    </xf>
    <xf numFmtId="0" fontId="5" fillId="0" borderId="24" xfId="1" applyFont="1" applyFill="1" applyBorder="1" applyAlignment="1">
      <alignment horizontal="center" vertical="center" textRotation="90"/>
    </xf>
    <xf numFmtId="0" fontId="5" fillId="0" borderId="22" xfId="1" applyFont="1" applyFill="1" applyBorder="1" applyAlignment="1">
      <alignment horizontal="center" vertical="center" textRotation="90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8" fillId="3" borderId="7" xfId="1" applyFont="1" applyFill="1" applyBorder="1" applyAlignment="1">
      <alignment horizontal="center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10" fillId="2" borderId="18" xfId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8" fillId="0" borderId="0" xfId="2" applyFont="1" applyFill="1" applyBorder="1" applyAlignment="1">
      <alignment horizontal="left"/>
    </xf>
    <xf numFmtId="0" fontId="35" fillId="10" borderId="64" xfId="4" applyFont="1" applyFill="1" applyBorder="1" applyAlignment="1">
      <alignment horizontal="center" vertical="center" wrapText="1"/>
    </xf>
    <xf numFmtId="0" fontId="34" fillId="0" borderId="71" xfId="5" applyFont="1" applyBorder="1" applyAlignment="1">
      <alignment horizontal="center" vertical="center" wrapText="1"/>
    </xf>
    <xf numFmtId="0" fontId="31" fillId="0" borderId="67" xfId="4" applyFont="1" applyBorder="1" applyAlignment="1">
      <alignment horizontal="center" vertical="center" wrapText="1"/>
    </xf>
    <xf numFmtId="0" fontId="31" fillId="0" borderId="76" xfId="4" applyFont="1" applyBorder="1" applyAlignment="1">
      <alignment horizontal="center" vertical="center" wrapText="1"/>
    </xf>
    <xf numFmtId="0" fontId="31" fillId="0" borderId="77" xfId="4" applyFont="1" applyBorder="1" applyAlignment="1">
      <alignment horizontal="center" vertical="center" wrapText="1"/>
    </xf>
    <xf numFmtId="0" fontId="35" fillId="0" borderId="65" xfId="4" applyFont="1" applyBorder="1" applyAlignment="1">
      <alignment horizontal="center" vertical="center" wrapText="1"/>
    </xf>
    <xf numFmtId="0" fontId="35" fillId="0" borderId="68" xfId="4" applyFont="1" applyBorder="1" applyAlignment="1">
      <alignment horizontal="center" vertical="center" wrapText="1"/>
    </xf>
    <xf numFmtId="0" fontId="31" fillId="0" borderId="75" xfId="4" applyFont="1" applyBorder="1" applyAlignment="1">
      <alignment horizontal="center" vertical="center"/>
    </xf>
    <xf numFmtId="0" fontId="31" fillId="0" borderId="55" xfId="4" applyFont="1" applyBorder="1" applyAlignment="1">
      <alignment horizontal="center" vertical="center"/>
    </xf>
    <xf numFmtId="0" fontId="31" fillId="0" borderId="58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31" fillId="16" borderId="54" xfId="4" applyFont="1" applyFill="1" applyBorder="1" applyAlignment="1">
      <alignment horizontal="center" vertical="center"/>
    </xf>
    <xf numFmtId="0" fontId="31" fillId="16" borderId="55" xfId="4" applyFont="1" applyFill="1" applyBorder="1" applyAlignment="1">
      <alignment horizontal="center" vertical="center"/>
    </xf>
    <xf numFmtId="0" fontId="31" fillId="16" borderId="58" xfId="4" applyFont="1" applyFill="1" applyBorder="1" applyAlignment="1">
      <alignment horizontal="center" vertical="center"/>
    </xf>
    <xf numFmtId="0" fontId="35" fillId="18" borderId="80" xfId="4" applyFont="1" applyFill="1" applyBorder="1" applyAlignment="1">
      <alignment horizontal="center" vertical="center"/>
    </xf>
    <xf numFmtId="0" fontId="35" fillId="18" borderId="81" xfId="4" applyFont="1" applyFill="1" applyBorder="1" applyAlignment="1">
      <alignment horizontal="center" vertical="center"/>
    </xf>
    <xf numFmtId="2" fontId="35" fillId="13" borderId="82" xfId="5" applyNumberFormat="1" applyFont="1" applyFill="1" applyBorder="1" applyAlignment="1" applyProtection="1">
      <alignment horizontal="left" wrapText="1"/>
      <protection locked="0"/>
    </xf>
    <xf numFmtId="2" fontId="35" fillId="13" borderId="26" xfId="5" applyNumberFormat="1" applyFont="1" applyFill="1" applyBorder="1" applyAlignment="1" applyProtection="1">
      <alignment horizontal="left" wrapText="1"/>
      <protection locked="0"/>
    </xf>
    <xf numFmtId="2" fontId="35" fillId="13" borderId="84" xfId="5" applyNumberFormat="1" applyFont="1" applyFill="1" applyBorder="1" applyAlignment="1" applyProtection="1">
      <alignment horizontal="left" wrapText="1"/>
      <protection locked="0"/>
    </xf>
    <xf numFmtId="2" fontId="35" fillId="13" borderId="85" xfId="5" applyNumberFormat="1" applyFont="1" applyFill="1" applyBorder="1" applyAlignment="1" applyProtection="1">
      <alignment horizontal="left" wrapText="1"/>
      <protection locked="0"/>
    </xf>
    <xf numFmtId="0" fontId="31" fillId="16" borderId="87" xfId="4" applyFont="1" applyFill="1" applyBorder="1" applyAlignment="1">
      <alignment horizontal="center" vertical="center"/>
    </xf>
    <xf numFmtId="0" fontId="31" fillId="16" borderId="88" xfId="4" applyFont="1" applyFill="1" applyBorder="1" applyAlignment="1">
      <alignment horizontal="center" vertical="center"/>
    </xf>
    <xf numFmtId="0" fontId="31" fillId="16" borderId="89" xfId="4" applyFont="1" applyFill="1" applyBorder="1" applyAlignment="1">
      <alignment horizontal="center" vertical="center"/>
    </xf>
    <xf numFmtId="0" fontId="31" fillId="0" borderId="24" xfId="4" applyFont="1" applyBorder="1" applyAlignment="1">
      <alignment horizontal="center" vertical="center"/>
    </xf>
    <xf numFmtId="0" fontId="31" fillId="0" borderId="27" xfId="4" applyFont="1" applyBorder="1" applyAlignment="1">
      <alignment horizontal="center" vertical="center"/>
    </xf>
    <xf numFmtId="0" fontId="31" fillId="0" borderId="22" xfId="4" applyFont="1" applyBorder="1" applyAlignment="1">
      <alignment horizontal="center" vertical="center"/>
    </xf>
    <xf numFmtId="0" fontId="4" fillId="11" borderId="61" xfId="4" applyFont="1" applyFill="1" applyBorder="1" applyAlignment="1">
      <alignment horizontal="center" vertical="center" readingOrder="1"/>
    </xf>
    <xf numFmtId="0" fontId="4" fillId="11" borderId="62" xfId="4" applyFont="1" applyFill="1" applyBorder="1" applyAlignment="1">
      <alignment horizontal="center" vertical="center" readingOrder="1"/>
    </xf>
    <xf numFmtId="0" fontId="4" fillId="11" borderId="45" xfId="4" applyFont="1" applyFill="1" applyBorder="1" applyAlignment="1">
      <alignment horizontal="center" vertical="center" readingOrder="1"/>
    </xf>
    <xf numFmtId="0" fontId="33" fillId="11" borderId="44" xfId="5" applyFont="1" applyFill="1" applyBorder="1" applyAlignment="1">
      <alignment horizontal="center" vertical="center" readingOrder="1"/>
    </xf>
    <xf numFmtId="0" fontId="34" fillId="11" borderId="63" xfId="5" applyFont="1" applyFill="1" applyBorder="1" applyAlignment="1">
      <alignment horizontal="center" vertical="center" readingOrder="1"/>
    </xf>
    <xf numFmtId="0" fontId="35" fillId="0" borderId="50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1" fontId="36" fillId="0" borderId="67" xfId="4" applyNumberFormat="1" applyFont="1" applyBorder="1" applyAlignment="1">
      <alignment horizontal="center" vertical="center" wrapText="1"/>
    </xf>
    <xf numFmtId="1" fontId="36" fillId="0" borderId="69" xfId="4" applyNumberFormat="1" applyFont="1" applyBorder="1" applyAlignment="1">
      <alignment horizontal="center" vertical="center" wrapText="1"/>
    </xf>
    <xf numFmtId="1" fontId="36" fillId="0" borderId="70" xfId="4" applyNumberFormat="1" applyFont="1" applyBorder="1" applyAlignment="1">
      <alignment horizontal="center" vertical="center" wrapText="1"/>
    </xf>
    <xf numFmtId="0" fontId="31" fillId="0" borderId="61" xfId="4" applyFont="1" applyBorder="1" applyAlignment="1">
      <alignment horizontal="center" vertical="center"/>
    </xf>
    <xf numFmtId="0" fontId="32" fillId="0" borderId="62" xfId="5" applyFont="1" applyBorder="1" applyAlignment="1">
      <alignment horizontal="center" vertical="center"/>
    </xf>
    <xf numFmtId="0" fontId="32" fillId="0" borderId="45" xfId="5" applyFont="1" applyBorder="1" applyAlignment="1">
      <alignment horizontal="center" vertical="center"/>
    </xf>
    <xf numFmtId="0" fontId="30" fillId="7" borderId="38" xfId="4" applyFont="1" applyFill="1" applyBorder="1" applyAlignment="1">
      <alignment horizontal="center" vertical="center"/>
    </xf>
    <xf numFmtId="0" fontId="30" fillId="7" borderId="39" xfId="4" applyFont="1" applyFill="1" applyBorder="1" applyAlignment="1">
      <alignment horizontal="center" vertical="center"/>
    </xf>
    <xf numFmtId="0" fontId="30" fillId="7" borderId="40" xfId="4" applyFont="1" applyFill="1" applyBorder="1" applyAlignment="1">
      <alignment horizontal="center" vertical="center"/>
    </xf>
    <xf numFmtId="0" fontId="30" fillId="7" borderId="41" xfId="4" applyFont="1" applyFill="1" applyBorder="1" applyAlignment="1">
      <alignment horizontal="center" vertical="center"/>
    </xf>
    <xf numFmtId="0" fontId="31" fillId="0" borderId="44" xfId="4" applyFont="1" applyBorder="1">
      <alignment vertical="center"/>
    </xf>
    <xf numFmtId="0" fontId="31" fillId="0" borderId="45" xfId="4" applyFont="1" applyBorder="1">
      <alignment vertical="center"/>
    </xf>
    <xf numFmtId="0" fontId="31" fillId="0" borderId="43" xfId="4" applyFont="1" applyBorder="1" applyAlignment="1">
      <alignment horizontal="center" vertical="center"/>
    </xf>
    <xf numFmtId="0" fontId="31" fillId="0" borderId="51" xfId="4" applyFont="1" applyBorder="1" applyAlignment="1">
      <alignment horizontal="center" vertical="center"/>
    </xf>
    <xf numFmtId="0" fontId="31" fillId="0" borderId="52" xfId="4" applyFont="1" applyBorder="1" applyAlignment="1">
      <alignment horizontal="center" vertical="center"/>
    </xf>
    <xf numFmtId="0" fontId="31" fillId="10" borderId="54" xfId="4" applyFont="1" applyFill="1" applyBorder="1" applyAlignment="1">
      <alignment horizontal="center" vertical="center"/>
    </xf>
    <xf numFmtId="0" fontId="31" fillId="10" borderId="55" xfId="4" applyFont="1" applyFill="1" applyBorder="1" applyAlignment="1">
      <alignment horizontal="center" vertical="center"/>
    </xf>
    <xf numFmtId="0" fontId="31" fillId="10" borderId="56" xfId="4" applyFont="1" applyFill="1" applyBorder="1" applyAlignment="1">
      <alignment horizontal="center" vertical="center"/>
    </xf>
    <xf numFmtId="0" fontId="31" fillId="10" borderId="57" xfId="4" applyFont="1" applyFill="1" applyBorder="1">
      <alignment vertical="center"/>
    </xf>
    <xf numFmtId="0" fontId="31" fillId="10" borderId="55" xfId="4" applyFont="1" applyFill="1" applyBorder="1">
      <alignment vertical="center"/>
    </xf>
    <xf numFmtId="0" fontId="31" fillId="10" borderId="58" xfId="4" applyFont="1" applyFill="1" applyBorder="1">
      <alignment vertical="center"/>
    </xf>
    <xf numFmtId="9" fontId="42" fillId="23" borderId="8" xfId="0" applyNumberFormat="1" applyFont="1" applyFill="1" applyBorder="1" applyAlignment="1">
      <alignment horizontal="center" vertical="center"/>
    </xf>
    <xf numFmtId="0" fontId="38" fillId="20" borderId="91" xfId="0" applyFont="1" applyFill="1" applyBorder="1" applyAlignment="1">
      <alignment horizontal="center" vertical="center"/>
    </xf>
    <xf numFmtId="0" fontId="39" fillId="16" borderId="8" xfId="0" applyFont="1" applyFill="1" applyBorder="1" applyAlignment="1">
      <alignment horizontal="center" vertical="center"/>
    </xf>
    <xf numFmtId="0" fontId="40" fillId="21" borderId="8" xfId="0" applyFont="1" applyFill="1" applyBorder="1" applyAlignment="1">
      <alignment horizontal="center" vertical="center"/>
    </xf>
    <xf numFmtId="0" fontId="41" fillId="22" borderId="8" xfId="0" applyFont="1" applyFill="1" applyBorder="1" applyAlignment="1">
      <alignment horizontal="left" vertical="center"/>
    </xf>
    <xf numFmtId="0" fontId="42" fillId="22" borderId="8" xfId="0" applyFont="1" applyFill="1" applyBorder="1" applyAlignment="1">
      <alignment horizontal="left" vertical="center"/>
    </xf>
    <xf numFmtId="0" fontId="41" fillId="23" borderId="8" xfId="0" applyFont="1" applyFill="1" applyBorder="1" applyAlignment="1">
      <alignment horizontal="left" vertical="center"/>
    </xf>
    <xf numFmtId="0" fontId="42" fillId="23" borderId="8" xfId="0" applyFont="1" applyFill="1" applyBorder="1" applyAlignment="1">
      <alignment horizontal="right" vertical="center" indent="8"/>
    </xf>
    <xf numFmtId="0" fontId="42" fillId="23" borderId="8" xfId="0" applyFont="1" applyFill="1" applyBorder="1" applyAlignment="1">
      <alignment horizontal="center" vertical="center"/>
    </xf>
    <xf numFmtId="0" fontId="42" fillId="22" borderId="8" xfId="0" quotePrefix="1" applyFont="1" applyFill="1" applyBorder="1" applyAlignment="1">
      <alignment horizontal="left" vertical="center"/>
    </xf>
    <xf numFmtId="0" fontId="42" fillId="22" borderId="8" xfId="0" applyFont="1" applyFill="1" applyBorder="1" applyAlignment="1">
      <alignment horizontal="right" vertical="center" indent="8"/>
    </xf>
    <xf numFmtId="0" fontId="0" fillId="0" borderId="8" xfId="0" applyBorder="1" applyAlignment="1">
      <alignment horizontal="left" vertical="center"/>
    </xf>
    <xf numFmtId="0" fontId="42" fillId="23" borderId="8" xfId="0" applyFont="1" applyFill="1" applyBorder="1" applyAlignment="1">
      <alignment horizontal="left" vertical="center"/>
    </xf>
    <xf numFmtId="0" fontId="42" fillId="24" borderId="8" xfId="0" applyFont="1" applyFill="1" applyBorder="1" applyAlignment="1">
      <alignment horizontal="right" vertical="center" indent="8"/>
    </xf>
    <xf numFmtId="0" fontId="42" fillId="22" borderId="8" xfId="0" applyFont="1" applyFill="1" applyBorder="1" applyAlignment="1">
      <alignment horizontal="center" vertical="center"/>
    </xf>
    <xf numFmtId="0" fontId="41" fillId="24" borderId="8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1" fillId="25" borderId="8" xfId="0" applyFont="1" applyFill="1" applyBorder="1" applyAlignment="1">
      <alignment horizontal="left" vertical="center"/>
    </xf>
    <xf numFmtId="0" fontId="0" fillId="25" borderId="8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</cellXfs>
  <cellStyles count="6">
    <cellStyle name="Normal" xfId="0" builtinId="0"/>
    <cellStyle name="Normal 2" xfId="1"/>
    <cellStyle name="Normal 3" xfId="2"/>
    <cellStyle name="Normal 3 2" xfId="5"/>
    <cellStyle name="Normal 4 2" xfId="4"/>
    <cellStyle name="Percent 2" xfId="3"/>
  </cellStyles>
  <dxfs count="1">
    <dxf>
      <font>
        <b val="0"/>
        <i val="0"/>
        <condense val="0"/>
        <extend val="0"/>
        <color auto="1"/>
      </font>
      <fill>
        <patternFill patternType="solid">
          <bgColor indexed="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135872</xdr:colOff>
      <xdr:row>95</xdr:row>
      <xdr:rowOff>71718</xdr:rowOff>
    </xdr:from>
    <xdr:to>
      <xdr:col>1</xdr:col>
      <xdr:colOff>882463</xdr:colOff>
      <xdr:row>96</xdr:row>
      <xdr:rowOff>133070</xdr:rowOff>
    </xdr:to>
    <xdr:grpSp>
      <xdr:nvGrpSpPr>
        <xdr:cNvPr id="67" name="Group 6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384398" y="14459481"/>
          <a:ext cx="746591" cy="211747"/>
          <a:chOff x="21087" y="97212"/>
          <a:chExt cx="2156" cy="824"/>
        </a:xfrm>
      </xdr:grpSpPr>
      <xdr:sp macro="" textlink="">
        <xdr:nvSpPr>
          <xdr:cNvPr id="68" name="Rectangle 67">
            <a:extLst>
              <a:ext uri="{FF2B5EF4-FFF2-40B4-BE49-F238E27FC236}">
                <a16:creationId xmlns=""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69" name="Group 33">
            <a:extLst>
              <a:ext uri="{FF2B5EF4-FFF2-40B4-BE49-F238E27FC236}">
                <a16:creationId xmlns="" xmlns:a16="http://schemas.microsoft.com/office/drawing/2014/main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70" name="Line 4">
              <a:extLst>
                <a:ext uri="{FF2B5EF4-FFF2-40B4-BE49-F238E27FC236}">
                  <a16:creationId xmlns="" xmlns:a16="http://schemas.microsoft.com/office/drawing/2014/main" id="{00000000-0008-0000-0100-00000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71" name="Line 5">
              <a:extLst>
                <a:ext uri="{FF2B5EF4-FFF2-40B4-BE49-F238E27FC236}">
                  <a16:creationId xmlns="" xmlns:a16="http://schemas.microsoft.com/office/drawing/2014/main" id="{00000000-0008-0000-0100-00000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</xdr:col>
      <xdr:colOff>147077</xdr:colOff>
      <xdr:row>97</xdr:row>
      <xdr:rowOff>261656</xdr:rowOff>
    </xdr:from>
    <xdr:to>
      <xdr:col>1</xdr:col>
      <xdr:colOff>889467</xdr:colOff>
      <xdr:row>98</xdr:row>
      <xdr:rowOff>168088</xdr:rowOff>
    </xdr:to>
    <xdr:grpSp>
      <xdr:nvGrpSpPr>
        <xdr:cNvPr id="72" name="Group 71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GrpSpPr>
          <a:grpSpLocks/>
        </xdr:cNvGrpSpPr>
      </xdr:nvGrpSpPr>
      <xdr:grpSpPr bwMode="auto">
        <a:xfrm>
          <a:off x="3395603" y="15000340"/>
          <a:ext cx="742390" cy="197195"/>
          <a:chOff x="38746" y="98259"/>
          <a:chExt cx="3836" cy="829"/>
        </a:xfrm>
      </xdr:grpSpPr>
      <xdr:sp macro="" textlink="">
        <xdr:nvSpPr>
          <xdr:cNvPr id="73" name="Rectangle 72">
            <a:extLst>
              <a:ext uri="{FF2B5EF4-FFF2-40B4-BE49-F238E27FC236}">
                <a16:creationId xmlns="" xmlns:a16="http://schemas.microsoft.com/office/drawing/2014/main" id="{00000000-0008-0000-01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38746" y="98259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74" name="Group 43">
            <a:extLst>
              <a:ext uri="{FF2B5EF4-FFF2-40B4-BE49-F238E27FC236}">
                <a16:creationId xmlns="" xmlns:a16="http://schemas.microsoft.com/office/drawing/2014/main" id="{00000000-0008-0000-0100-000009000000}"/>
              </a:ext>
            </a:extLst>
          </xdr:cNvPr>
          <xdr:cNvGrpSpPr>
            <a:grpSpLocks/>
          </xdr:cNvGrpSpPr>
        </xdr:nvGrpSpPr>
        <xdr:grpSpPr bwMode="auto">
          <a:xfrm>
            <a:off x="38985" y="98439"/>
            <a:ext cx="3401" cy="538"/>
            <a:chOff x="38985" y="98439"/>
            <a:chExt cx="3401" cy="538"/>
          </a:xfrm>
        </xdr:grpSpPr>
        <xdr:sp macro="" textlink="">
          <xdr:nvSpPr>
            <xdr:cNvPr id="75" name="Line 9">
              <a:extLst>
                <a:ext uri="{FF2B5EF4-FFF2-40B4-BE49-F238E27FC236}">
                  <a16:creationId xmlns="" xmlns:a16="http://schemas.microsoft.com/office/drawing/2014/main" id="{00000000-0008-0000-0100-00000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985" y="98761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76" name="Line 10">
              <a:extLst>
                <a:ext uri="{FF2B5EF4-FFF2-40B4-BE49-F238E27FC236}">
                  <a16:creationId xmlns="" xmlns:a16="http://schemas.microsoft.com/office/drawing/2014/main" id="{00000000-0008-0000-0100-00000B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9923" y="98439"/>
              <a:ext cx="2463" cy="529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26</xdr:row>
      <xdr:rowOff>292575</xdr:rowOff>
    </xdr:from>
    <xdr:to>
      <xdr:col>4</xdr:col>
      <xdr:colOff>0</xdr:colOff>
      <xdr:row>28</xdr:row>
      <xdr:rowOff>0</xdr:rowOff>
    </xdr:to>
    <xdr:pic>
      <xdr:nvPicPr>
        <xdr:cNvPr id="2" name="Picture 3" descr="rId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152650" y="6798150"/>
          <a:ext cx="1247775" cy="57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28574</xdr:colOff>
      <xdr:row>23</xdr:row>
      <xdr:rowOff>19050</xdr:rowOff>
    </xdr:from>
    <xdr:to>
      <xdr:col>4</xdr:col>
      <xdr:colOff>47625</xdr:colOff>
      <xdr:row>26</xdr:row>
      <xdr:rowOff>3176</xdr:rowOff>
    </xdr:to>
    <xdr:pic>
      <xdr:nvPicPr>
        <xdr:cNvPr id="3" name="Picture 4" descr="rId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162174" y="5953125"/>
          <a:ext cx="1285876" cy="82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6</xdr:row>
      <xdr:rowOff>1</xdr:rowOff>
    </xdr:from>
    <xdr:to>
      <xdr:col>10</xdr:col>
      <xdr:colOff>603250</xdr:colOff>
      <xdr:row>10</xdr:row>
      <xdr:rowOff>0</xdr:rowOff>
    </xdr:to>
    <xdr:pic>
      <xdr:nvPicPr>
        <xdr:cNvPr id="4" name="Picture 6" descr="rId5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781925" y="1924051"/>
          <a:ext cx="1676400" cy="952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19051</xdr:colOff>
      <xdr:row>17</xdr:row>
      <xdr:rowOff>9525</xdr:rowOff>
    </xdr:from>
    <xdr:to>
      <xdr:col>10</xdr:col>
      <xdr:colOff>603250</xdr:colOff>
      <xdr:row>20</xdr:row>
      <xdr:rowOff>76200</xdr:rowOff>
    </xdr:to>
    <xdr:pic>
      <xdr:nvPicPr>
        <xdr:cNvPr id="5" name="Picture 7" descr="rId6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753351" y="4505325"/>
          <a:ext cx="1743074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552450</xdr:colOff>
      <xdr:row>12</xdr:row>
      <xdr:rowOff>171449</xdr:rowOff>
    </xdr:from>
    <xdr:to>
      <xdr:col>10</xdr:col>
      <xdr:colOff>265195</xdr:colOff>
      <xdr:row>14</xdr:row>
      <xdr:rowOff>190499</xdr:rowOff>
    </xdr:to>
    <xdr:pic>
      <xdr:nvPicPr>
        <xdr:cNvPr id="6" name="Picture 14" descr="IMG20210204114558_00.jp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429250" y="3057524"/>
          <a:ext cx="120182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38101</xdr:colOff>
      <xdr:row>30</xdr:row>
      <xdr:rowOff>41672</xdr:rowOff>
    </xdr:from>
    <xdr:to>
      <xdr:col>3</xdr:col>
      <xdr:colOff>593725</xdr:colOff>
      <xdr:row>31</xdr:row>
      <xdr:rowOff>200024</xdr:rowOff>
    </xdr:to>
    <xdr:pic>
      <xdr:nvPicPr>
        <xdr:cNvPr id="7" name="Picture 6" descr="WhatsApp Image 2024-09-21 at 6.44.05 PM (1).jpe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71701" y="7414022"/>
          <a:ext cx="1212849" cy="682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17"/>
  <sheetViews>
    <sheetView view="pageBreakPreview" zoomScale="95" zoomScaleSheetLayoutView="95" workbookViewId="0">
      <selection activeCell="E43" sqref="E43:E44"/>
    </sheetView>
  </sheetViews>
  <sheetFormatPr defaultRowHeight="15"/>
  <cols>
    <col min="1" max="1" width="48.7109375" style="78" customWidth="1"/>
    <col min="2" max="2" width="14.5703125" style="79" customWidth="1"/>
    <col min="3" max="3" width="8.7109375" style="79" customWidth="1"/>
    <col min="4" max="4" width="6.140625" style="79" customWidth="1"/>
    <col min="5" max="5" width="8.7109375" style="79" customWidth="1"/>
    <col min="6" max="6" width="14.7109375" style="79" customWidth="1"/>
    <col min="7" max="7" width="53.28515625" style="79" customWidth="1"/>
    <col min="8" max="16384" width="9.140625" style="79"/>
  </cols>
  <sheetData>
    <row r="1" spans="1:7" s="1" customFormat="1" ht="29.25" customHeight="1" thickBot="1">
      <c r="A1" s="259" t="s">
        <v>0</v>
      </c>
      <c r="B1" s="260"/>
      <c r="C1" s="260"/>
      <c r="D1" s="261"/>
      <c r="E1" s="261"/>
      <c r="F1" s="260"/>
      <c r="G1" s="262"/>
    </row>
    <row r="2" spans="1:7" s="8" customFormat="1" ht="15.75" customHeight="1" thickBot="1">
      <c r="A2" s="2" t="s">
        <v>1</v>
      </c>
      <c r="B2" s="3" t="s">
        <v>31</v>
      </c>
      <c r="C2" s="4" t="s">
        <v>2</v>
      </c>
      <c r="D2" s="92">
        <v>3</v>
      </c>
      <c r="E2" s="5"/>
      <c r="F2" s="6" t="s">
        <v>3</v>
      </c>
      <c r="G2" s="7">
        <v>28</v>
      </c>
    </row>
    <row r="3" spans="1:7" s="8" customFormat="1" ht="15.75" customHeight="1" thickBot="1">
      <c r="A3" s="9" t="s">
        <v>4</v>
      </c>
      <c r="B3" s="3">
        <v>75101</v>
      </c>
      <c r="C3" s="10"/>
      <c r="D3" s="10"/>
      <c r="E3" s="10"/>
      <c r="F3" s="11" t="s">
        <v>5</v>
      </c>
      <c r="G3" s="12">
        <v>19.27</v>
      </c>
    </row>
    <row r="4" spans="1:7" s="8" customFormat="1" ht="15.75" customHeight="1" thickBot="1">
      <c r="A4" s="13" t="s">
        <v>6</v>
      </c>
      <c r="B4" s="14" t="s">
        <v>320</v>
      </c>
      <c r="C4" s="15"/>
      <c r="D4" s="15"/>
      <c r="E4" s="15"/>
      <c r="F4" s="16" t="s">
        <v>7</v>
      </c>
      <c r="G4" s="17">
        <v>37</v>
      </c>
    </row>
    <row r="5" spans="1:7" s="8" customFormat="1" ht="15.75" customHeight="1" thickBot="1">
      <c r="A5" s="18" t="s">
        <v>8</v>
      </c>
      <c r="B5" s="19"/>
      <c r="C5" s="263" t="s">
        <v>9</v>
      </c>
      <c r="D5" s="264"/>
      <c r="E5" s="265"/>
      <c r="F5" s="20" t="s">
        <v>10</v>
      </c>
      <c r="G5" s="21">
        <f>+G2*60/G3*0.6</f>
        <v>52.309289050337313</v>
      </c>
    </row>
    <row r="6" spans="1:7" s="8" customFormat="1" ht="18.75" customHeight="1" thickBot="1">
      <c r="A6" s="22"/>
      <c r="B6" s="23"/>
      <c r="C6" s="266"/>
      <c r="D6" s="266"/>
      <c r="E6" s="266"/>
      <c r="F6" s="23"/>
      <c r="G6" s="24"/>
    </row>
    <row r="7" spans="1:7" s="8" customFormat="1" ht="26.25" customHeight="1" thickBot="1">
      <c r="A7" s="25" t="s">
        <v>11</v>
      </c>
      <c r="B7" s="26" t="s">
        <v>12</v>
      </c>
      <c r="C7" s="27" t="s">
        <v>13</v>
      </c>
      <c r="D7" s="28"/>
      <c r="E7" s="27" t="s">
        <v>13</v>
      </c>
      <c r="F7" s="26" t="s">
        <v>12</v>
      </c>
      <c r="G7" s="25" t="s">
        <v>11</v>
      </c>
    </row>
    <row r="8" spans="1:7" s="8" customFormat="1" ht="14.25" hidden="1" customHeight="1">
      <c r="A8" s="29"/>
      <c r="B8" s="30"/>
      <c r="C8" s="239"/>
      <c r="D8" s="28"/>
      <c r="E8" s="239"/>
      <c r="F8" s="31"/>
      <c r="G8" s="32"/>
    </row>
    <row r="9" spans="1:7" s="8" customFormat="1" ht="14.25" hidden="1" customHeight="1">
      <c r="A9" s="33"/>
      <c r="B9" s="34"/>
      <c r="C9" s="240"/>
      <c r="D9" s="28"/>
      <c r="E9" s="240"/>
      <c r="F9" s="35"/>
      <c r="G9" s="36"/>
    </row>
    <row r="10" spans="1:7" s="8" customFormat="1" ht="14.25" hidden="1" customHeight="1" thickBot="1">
      <c r="A10" s="88"/>
      <c r="B10" s="85"/>
      <c r="C10" s="37"/>
      <c r="D10" s="28"/>
      <c r="E10" s="37"/>
      <c r="F10" s="88"/>
      <c r="G10" s="85"/>
    </row>
    <row r="11" spans="1:7" s="8" customFormat="1" ht="22.5" hidden="1" customHeight="1" thickBot="1">
      <c r="A11" s="29"/>
      <c r="B11" s="30"/>
      <c r="C11" s="239"/>
      <c r="D11" s="89"/>
      <c r="E11" s="257"/>
      <c r="F11" s="31"/>
      <c r="G11" s="29"/>
    </row>
    <row r="12" spans="1:7" s="8" customFormat="1" ht="22.5" hidden="1" customHeight="1" thickBot="1">
      <c r="A12" s="88"/>
      <c r="B12" s="85"/>
      <c r="C12" s="240"/>
      <c r="D12" s="89"/>
      <c r="E12" s="258"/>
      <c r="F12" s="88"/>
      <c r="G12" s="85"/>
    </row>
    <row r="13" spans="1:7" s="8" customFormat="1" ht="14.25" hidden="1" customHeight="1" thickBot="1">
      <c r="A13" s="88"/>
      <c r="B13" s="85"/>
      <c r="C13" s="82"/>
      <c r="D13" s="89"/>
      <c r="E13" s="38"/>
      <c r="F13" s="88"/>
      <c r="G13" s="85"/>
    </row>
    <row r="14" spans="1:7" s="8" customFormat="1" ht="22.5" hidden="1" customHeight="1" thickBot="1">
      <c r="A14" s="29"/>
      <c r="B14" s="30"/>
      <c r="C14" s="239"/>
      <c r="D14" s="89"/>
      <c r="E14" s="257"/>
      <c r="F14" s="31"/>
      <c r="G14" s="29"/>
    </row>
    <row r="15" spans="1:7" s="8" customFormat="1" ht="22.5" hidden="1" customHeight="1" thickBot="1">
      <c r="A15" s="88"/>
      <c r="B15" s="85"/>
      <c r="C15" s="240"/>
      <c r="D15" s="89"/>
      <c r="E15" s="258"/>
      <c r="F15" s="88"/>
      <c r="G15" s="85"/>
    </row>
    <row r="16" spans="1:7" s="8" customFormat="1" ht="14.25" hidden="1" customHeight="1" thickBot="1">
      <c r="A16" s="88"/>
      <c r="B16" s="85"/>
      <c r="C16" s="82"/>
      <c r="D16" s="89"/>
      <c r="E16" s="38"/>
      <c r="F16" s="88"/>
      <c r="G16" s="85"/>
    </row>
    <row r="17" spans="1:7" s="8" customFormat="1" ht="22.5" hidden="1" customHeight="1" thickBot="1">
      <c r="A17" s="29"/>
      <c r="B17" s="30"/>
      <c r="C17" s="239"/>
      <c r="D17" s="89"/>
      <c r="E17" s="257"/>
      <c r="F17" s="31"/>
      <c r="G17" s="29"/>
    </row>
    <row r="18" spans="1:7" s="8" customFormat="1" ht="22.5" hidden="1" customHeight="1" thickBot="1">
      <c r="A18" s="88"/>
      <c r="B18" s="85"/>
      <c r="C18" s="240"/>
      <c r="D18" s="89"/>
      <c r="E18" s="258"/>
      <c r="F18" s="88"/>
      <c r="G18" s="85"/>
    </row>
    <row r="19" spans="1:7" s="8" customFormat="1" ht="14.25" hidden="1" customHeight="1" thickBot="1">
      <c r="A19" s="88"/>
      <c r="B19" s="85"/>
      <c r="C19" s="82"/>
      <c r="D19" s="89"/>
      <c r="E19" s="83"/>
      <c r="F19" s="88"/>
      <c r="G19" s="85"/>
    </row>
    <row r="20" spans="1:7" s="8" customFormat="1" ht="22.5" hidden="1" customHeight="1" thickBot="1">
      <c r="A20" s="81"/>
      <c r="B20" s="30"/>
      <c r="C20" s="257"/>
      <c r="D20" s="89"/>
      <c r="E20" s="257"/>
      <c r="F20" s="31"/>
      <c r="G20" s="29"/>
    </row>
    <row r="21" spans="1:7" s="8" customFormat="1" ht="22.5" hidden="1" customHeight="1" thickBot="1">
      <c r="A21" s="39"/>
      <c r="B21" s="40"/>
      <c r="C21" s="258"/>
      <c r="D21" s="89"/>
      <c r="E21" s="258"/>
      <c r="F21" s="88"/>
      <c r="G21" s="85"/>
    </row>
    <row r="22" spans="1:7" s="8" customFormat="1" ht="14.25" hidden="1" customHeight="1" thickBot="1">
      <c r="A22" s="88"/>
      <c r="B22" s="85"/>
      <c r="C22" s="84"/>
      <c r="D22" s="89"/>
      <c r="E22" s="83"/>
      <c r="F22" s="88"/>
      <c r="G22" s="85"/>
    </row>
    <row r="23" spans="1:7" s="8" customFormat="1" ht="22.5" hidden="1" customHeight="1" thickBot="1">
      <c r="A23" s="29"/>
      <c r="B23" s="30"/>
      <c r="C23" s="257"/>
      <c r="D23" s="89"/>
      <c r="E23" s="257"/>
      <c r="F23" s="31"/>
      <c r="G23" s="29"/>
    </row>
    <row r="24" spans="1:7" s="8" customFormat="1" ht="22.5" hidden="1" customHeight="1" thickBot="1">
      <c r="A24" s="88"/>
      <c r="B24" s="85"/>
      <c r="C24" s="258"/>
      <c r="D24" s="89"/>
      <c r="E24" s="258"/>
      <c r="F24" s="41"/>
      <c r="G24" s="42"/>
    </row>
    <row r="25" spans="1:7" s="8" customFormat="1" ht="14.25" hidden="1" customHeight="1" thickBot="1">
      <c r="A25" s="88"/>
      <c r="B25" s="85"/>
      <c r="C25" s="82"/>
      <c r="D25" s="89"/>
      <c r="E25" s="80"/>
      <c r="F25" s="88"/>
      <c r="G25" s="85"/>
    </row>
    <row r="26" spans="1:7" s="8" customFormat="1" ht="22.5" hidden="1" customHeight="1" thickBot="1">
      <c r="A26" s="29"/>
      <c r="B26" s="30"/>
      <c r="C26" s="257"/>
      <c r="D26" s="89"/>
      <c r="E26" s="257"/>
      <c r="F26" s="31"/>
      <c r="G26" s="29"/>
    </row>
    <row r="27" spans="1:7" s="8" customFormat="1" ht="22.5" hidden="1" customHeight="1" thickBot="1">
      <c r="A27" s="39"/>
      <c r="B27" s="40"/>
      <c r="C27" s="258"/>
      <c r="D27" s="89"/>
      <c r="E27" s="258"/>
      <c r="F27" s="88"/>
      <c r="G27" s="85"/>
    </row>
    <row r="28" spans="1:7" s="8" customFormat="1" ht="14.25" hidden="1" customHeight="1" thickBot="1">
      <c r="A28" s="88"/>
      <c r="B28" s="85"/>
      <c r="C28" s="84"/>
      <c r="D28" s="89"/>
      <c r="E28" s="80"/>
      <c r="F28" s="88"/>
      <c r="G28" s="85"/>
    </row>
    <row r="29" spans="1:7" s="8" customFormat="1" ht="22.5" hidden="1" customHeight="1" thickBot="1">
      <c r="A29" s="29"/>
      <c r="B29" s="30"/>
      <c r="C29" s="257"/>
      <c r="D29" s="89"/>
      <c r="E29" s="257"/>
      <c r="F29" s="31"/>
      <c r="G29" s="29"/>
    </row>
    <row r="30" spans="1:7" s="8" customFormat="1" ht="22.5" hidden="1" customHeight="1" thickBot="1">
      <c r="A30" s="88"/>
      <c r="B30" s="85"/>
      <c r="C30" s="258"/>
      <c r="D30" s="89"/>
      <c r="E30" s="258"/>
      <c r="F30" s="88"/>
      <c r="G30" s="85"/>
    </row>
    <row r="31" spans="1:7" s="8" customFormat="1" ht="15" customHeight="1" thickBot="1">
      <c r="A31" s="29"/>
      <c r="B31" s="30"/>
      <c r="C31" s="239"/>
      <c r="D31" s="238"/>
      <c r="E31" s="228"/>
      <c r="F31" s="31"/>
      <c r="G31" s="29"/>
    </row>
    <row r="32" spans="1:7" s="8" customFormat="1" ht="15" customHeight="1" thickBot="1">
      <c r="A32" s="88"/>
      <c r="B32" s="94"/>
      <c r="C32" s="240"/>
      <c r="D32" s="238"/>
      <c r="E32" s="229"/>
      <c r="F32" s="88"/>
      <c r="G32" s="85"/>
    </row>
    <row r="33" spans="1:7" s="8" customFormat="1" ht="15" customHeight="1" thickBot="1">
      <c r="A33" s="39"/>
      <c r="B33" s="94"/>
      <c r="C33" s="97"/>
      <c r="D33" s="238"/>
      <c r="E33" s="100"/>
      <c r="F33" s="88"/>
      <c r="G33" s="85"/>
    </row>
    <row r="34" spans="1:7" s="8" customFormat="1" ht="15" customHeight="1" thickBot="1">
      <c r="A34" s="29"/>
      <c r="B34" s="30"/>
      <c r="C34" s="228"/>
      <c r="D34" s="238"/>
      <c r="E34" s="228" t="s">
        <v>169</v>
      </c>
      <c r="F34" s="31">
        <v>37</v>
      </c>
      <c r="G34" s="29" t="s">
        <v>204</v>
      </c>
    </row>
    <row r="35" spans="1:7" s="8" customFormat="1" ht="15" customHeight="1" thickBot="1">
      <c r="A35" s="88"/>
      <c r="B35" s="94"/>
      <c r="C35" s="229"/>
      <c r="D35" s="238"/>
      <c r="E35" s="229"/>
      <c r="F35" s="88"/>
      <c r="G35" s="85"/>
    </row>
    <row r="36" spans="1:7" s="8" customFormat="1" ht="15" customHeight="1" thickBot="1">
      <c r="A36" s="88"/>
      <c r="B36" s="43"/>
      <c r="C36" s="93"/>
      <c r="D36" s="238"/>
      <c r="E36" s="101"/>
      <c r="F36" s="88"/>
      <c r="G36" s="85"/>
    </row>
    <row r="37" spans="1:7" s="8" customFormat="1" ht="15" customHeight="1" thickBot="1">
      <c r="A37" s="29" t="s">
        <v>203</v>
      </c>
      <c r="B37" s="30">
        <v>36</v>
      </c>
      <c r="C37" s="239" t="s">
        <v>169</v>
      </c>
      <c r="D37" s="238"/>
      <c r="E37" s="228" t="s">
        <v>23</v>
      </c>
      <c r="F37" s="31">
        <v>35</v>
      </c>
      <c r="G37" s="29" t="s">
        <v>202</v>
      </c>
    </row>
    <row r="38" spans="1:7" s="8" customFormat="1" ht="15" customHeight="1" thickBot="1">
      <c r="A38" s="88"/>
      <c r="B38" s="94"/>
      <c r="C38" s="240"/>
      <c r="D38" s="238"/>
      <c r="E38" s="229"/>
      <c r="F38" s="88"/>
      <c r="G38" s="85"/>
    </row>
    <row r="39" spans="1:7" s="8" customFormat="1" ht="15" customHeight="1" thickBot="1">
      <c r="A39" s="88"/>
      <c r="B39" s="94"/>
      <c r="C39" s="82"/>
      <c r="D39" s="238"/>
      <c r="E39" s="101"/>
      <c r="F39" s="88"/>
      <c r="G39" s="85"/>
    </row>
    <row r="40" spans="1:7" s="8" customFormat="1" ht="15" customHeight="1" thickBot="1">
      <c r="A40" s="29" t="s">
        <v>201</v>
      </c>
      <c r="B40" s="30">
        <v>34</v>
      </c>
      <c r="C40" s="239" t="s">
        <v>169</v>
      </c>
      <c r="D40" s="238"/>
      <c r="E40" s="228" t="s">
        <v>169</v>
      </c>
      <c r="F40" s="31">
        <v>33</v>
      </c>
      <c r="G40" s="29" t="s">
        <v>201</v>
      </c>
    </row>
    <row r="41" spans="1:7" s="8" customFormat="1" ht="15" customHeight="1" thickBot="1">
      <c r="A41" s="39"/>
      <c r="B41" s="94"/>
      <c r="C41" s="240"/>
      <c r="D41" s="238"/>
      <c r="E41" s="229"/>
      <c r="F41" s="41"/>
      <c r="G41" s="42"/>
    </row>
    <row r="42" spans="1:7" s="8" customFormat="1" ht="15" customHeight="1" thickBot="1">
      <c r="A42" s="88"/>
      <c r="B42" s="94"/>
      <c r="C42" s="93"/>
      <c r="D42" s="238"/>
      <c r="E42" s="102"/>
      <c r="F42" s="88"/>
      <c r="G42" s="85"/>
    </row>
    <row r="43" spans="1:7" s="8" customFormat="1" ht="15" customHeight="1" thickBot="1">
      <c r="A43" s="29" t="s">
        <v>200</v>
      </c>
      <c r="B43" s="30">
        <v>32</v>
      </c>
      <c r="C43" s="239" t="s">
        <v>169</v>
      </c>
      <c r="D43" s="238"/>
      <c r="E43" s="228" t="s">
        <v>169</v>
      </c>
      <c r="F43" s="31">
        <v>31</v>
      </c>
      <c r="G43" s="29" t="s">
        <v>199</v>
      </c>
    </row>
    <row r="44" spans="1:7" s="8" customFormat="1" ht="15" customHeight="1" thickBot="1">
      <c r="A44" s="88"/>
      <c r="B44" s="85"/>
      <c r="C44" s="241"/>
      <c r="D44" s="238"/>
      <c r="E44" s="229"/>
      <c r="F44" s="88"/>
      <c r="G44" s="85"/>
    </row>
    <row r="45" spans="1:7" s="8" customFormat="1" ht="15" customHeight="1" thickBot="1">
      <c r="A45" s="88"/>
      <c r="B45" s="85"/>
      <c r="C45" s="93"/>
      <c r="D45" s="238"/>
      <c r="E45" s="101"/>
      <c r="F45" s="88"/>
      <c r="G45" s="85"/>
    </row>
    <row r="46" spans="1:7" s="8" customFormat="1" ht="15" customHeight="1" thickBot="1">
      <c r="A46" s="29" t="s">
        <v>198</v>
      </c>
      <c r="B46" s="30">
        <v>30</v>
      </c>
      <c r="C46" s="239" t="s">
        <v>169</v>
      </c>
      <c r="D46" s="238"/>
      <c r="E46" s="228" t="s">
        <v>22</v>
      </c>
      <c r="F46" s="31">
        <v>29</v>
      </c>
      <c r="G46" s="29" t="s">
        <v>197</v>
      </c>
    </row>
    <row r="47" spans="1:7" s="8" customFormat="1" ht="15" customHeight="1" thickBot="1">
      <c r="A47" s="88"/>
      <c r="B47" s="85"/>
      <c r="C47" s="240"/>
      <c r="D47" s="238"/>
      <c r="E47" s="229"/>
      <c r="F47" s="88"/>
      <c r="G47" s="85"/>
    </row>
    <row r="48" spans="1:7" s="8" customFormat="1" ht="15" customHeight="1" thickBot="1">
      <c r="A48" s="88"/>
      <c r="B48" s="85"/>
      <c r="C48" s="97"/>
      <c r="D48" s="238"/>
      <c r="E48" s="103"/>
      <c r="F48" s="88"/>
      <c r="G48" s="85"/>
    </row>
    <row r="49" spans="1:19" s="8" customFormat="1" ht="15" customHeight="1" thickBot="1">
      <c r="A49" s="29" t="s">
        <v>194</v>
      </c>
      <c r="B49" s="30">
        <v>28</v>
      </c>
      <c r="C49" s="239" t="s">
        <v>169</v>
      </c>
      <c r="D49" s="238"/>
      <c r="E49" s="228" t="s">
        <v>169</v>
      </c>
      <c r="F49" s="31">
        <v>27</v>
      </c>
      <c r="G49" s="29" t="s">
        <v>195</v>
      </c>
    </row>
    <row r="50" spans="1:19" s="8" customFormat="1" ht="15" customHeight="1" thickBot="1">
      <c r="A50" s="88"/>
      <c r="B50" s="85"/>
      <c r="C50" s="240"/>
      <c r="D50" s="238"/>
      <c r="E50" s="229"/>
      <c r="F50" s="88"/>
      <c r="G50" s="85"/>
    </row>
    <row r="51" spans="1:19" s="8" customFormat="1" ht="15" customHeight="1" thickBot="1">
      <c r="A51" s="88"/>
      <c r="B51" s="85"/>
      <c r="C51" s="98"/>
      <c r="D51" s="238"/>
      <c r="E51" s="104"/>
      <c r="F51" s="88"/>
      <c r="G51" s="85"/>
    </row>
    <row r="52" spans="1:19" s="8" customFormat="1" ht="15" customHeight="1" thickBot="1">
      <c r="A52" s="29" t="s">
        <v>192</v>
      </c>
      <c r="B52" s="30">
        <v>26</v>
      </c>
      <c r="C52" s="239" t="s">
        <v>23</v>
      </c>
      <c r="D52" s="238"/>
      <c r="E52" s="228" t="s">
        <v>21</v>
      </c>
      <c r="F52" s="45">
        <v>25</v>
      </c>
      <c r="G52" s="29" t="s">
        <v>193</v>
      </c>
    </row>
    <row r="53" spans="1:19" s="8" customFormat="1" ht="15" customHeight="1" thickBot="1">
      <c r="A53" s="88"/>
      <c r="B53" s="86"/>
      <c r="C53" s="240"/>
      <c r="D53" s="238"/>
      <c r="E53" s="229"/>
      <c r="F53" s="46"/>
      <c r="G53" s="47"/>
    </row>
    <row r="54" spans="1:19" s="8" customFormat="1" ht="15" customHeight="1" thickBot="1">
      <c r="A54" s="88"/>
      <c r="B54" s="86"/>
      <c r="C54" s="99"/>
      <c r="D54" s="238"/>
      <c r="E54" s="105"/>
      <c r="F54" s="86"/>
      <c r="G54" s="44"/>
    </row>
    <row r="55" spans="1:19" s="8" customFormat="1" ht="15" customHeight="1" thickBot="1">
      <c r="A55" s="29" t="s">
        <v>196</v>
      </c>
      <c r="B55" s="30">
        <v>24</v>
      </c>
      <c r="C55" s="239" t="s">
        <v>169</v>
      </c>
      <c r="D55" s="238"/>
      <c r="E55" s="239" t="s">
        <v>22</v>
      </c>
      <c r="F55" s="45">
        <v>23</v>
      </c>
      <c r="G55" s="29" t="s">
        <v>191</v>
      </c>
    </row>
    <row r="56" spans="1:19" s="8" customFormat="1" ht="15" customHeight="1" thickBot="1">
      <c r="A56" s="88"/>
      <c r="B56" s="86"/>
      <c r="C56" s="240"/>
      <c r="D56" s="238"/>
      <c r="E56" s="240"/>
      <c r="F56" s="46"/>
      <c r="G56" s="47"/>
      <c r="M56" s="29"/>
    </row>
    <row r="57" spans="1:19" s="8" customFormat="1" ht="15" customHeight="1" thickBot="1">
      <c r="A57" s="48"/>
      <c r="B57" s="86"/>
      <c r="C57" s="82"/>
      <c r="D57" s="238"/>
      <c r="E57" s="100"/>
      <c r="F57" s="86"/>
      <c r="G57" s="44"/>
    </row>
    <row r="58" spans="1:19" s="49" customFormat="1" ht="15" customHeight="1" thickBot="1">
      <c r="A58" s="29" t="s">
        <v>191</v>
      </c>
      <c r="B58" s="30">
        <v>22</v>
      </c>
      <c r="C58" s="239" t="s">
        <v>22</v>
      </c>
      <c r="D58" s="238"/>
      <c r="E58" s="228" t="s">
        <v>169</v>
      </c>
      <c r="F58" s="45">
        <v>21</v>
      </c>
      <c r="G58" s="29" t="s">
        <v>190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s="49" customFormat="1" ht="15" customHeight="1" thickBot="1">
      <c r="A59" s="50"/>
      <c r="B59" s="46"/>
      <c r="C59" s="240"/>
      <c r="D59" s="238"/>
      <c r="E59" s="229"/>
      <c r="F59" s="46"/>
      <c r="G59" s="4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s="49" customFormat="1" ht="15" customHeight="1" thickBot="1">
      <c r="A60" s="51"/>
      <c r="B60" s="86"/>
      <c r="C60" s="82"/>
      <c r="D60" s="238"/>
      <c r="E60" s="104"/>
      <c r="F60" s="86"/>
      <c r="G60" s="44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s="49" customFormat="1" ht="15" customHeight="1" thickBot="1">
      <c r="A61" s="29" t="s">
        <v>189</v>
      </c>
      <c r="B61" s="30">
        <v>20</v>
      </c>
      <c r="C61" s="239" t="s">
        <v>22</v>
      </c>
      <c r="D61" s="238"/>
      <c r="E61" s="228" t="s">
        <v>187</v>
      </c>
      <c r="F61" s="52">
        <v>19</v>
      </c>
      <c r="G61" s="29" t="s">
        <v>186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s="49" customFormat="1" ht="15" customHeight="1" thickBot="1">
      <c r="A62" s="88"/>
      <c r="B62" s="53"/>
      <c r="C62" s="240"/>
      <c r="D62" s="238"/>
      <c r="E62" s="229"/>
      <c r="F62" s="54"/>
      <c r="G62" s="42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s="49" customFormat="1" ht="15" customHeight="1" thickBot="1">
      <c r="A63" s="55"/>
      <c r="B63" s="46"/>
      <c r="C63" s="99"/>
      <c r="D63" s="238"/>
      <c r="E63" s="105"/>
      <c r="F63" s="56"/>
      <c r="G63" s="4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s="49" customFormat="1" ht="15" customHeight="1" thickBot="1">
      <c r="A64" s="29" t="s">
        <v>185</v>
      </c>
      <c r="B64" s="57">
        <v>18</v>
      </c>
      <c r="C64" s="239" t="s">
        <v>169</v>
      </c>
      <c r="D64" s="238"/>
      <c r="E64" s="228" t="s">
        <v>175</v>
      </c>
      <c r="F64" s="57">
        <v>17</v>
      </c>
      <c r="G64" s="29" t="s">
        <v>184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s="49" customFormat="1" ht="15" customHeight="1" thickBot="1">
      <c r="A65" s="39"/>
      <c r="B65" s="54"/>
      <c r="C65" s="240"/>
      <c r="D65" s="238"/>
      <c r="E65" s="229"/>
      <c r="F65" s="46"/>
      <c r="G65" s="4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s="49" customFormat="1" ht="15" customHeight="1" thickBot="1">
      <c r="A66" s="55"/>
      <c r="B66" s="46"/>
      <c r="C66" s="99"/>
      <c r="D66" s="238"/>
      <c r="E66" s="106"/>
      <c r="F66" s="56"/>
      <c r="G66" s="4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s="49" customFormat="1" ht="15" customHeight="1" thickBot="1">
      <c r="A67" s="29" t="s">
        <v>183</v>
      </c>
      <c r="B67" s="57">
        <v>16</v>
      </c>
      <c r="C67" s="239" t="s">
        <v>169</v>
      </c>
      <c r="D67" s="238"/>
      <c r="E67" s="228" t="s">
        <v>169</v>
      </c>
      <c r="F67" s="57">
        <v>15</v>
      </c>
      <c r="G67" s="29" t="s">
        <v>183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s="49" customFormat="1" ht="15" customHeight="1" thickBot="1">
      <c r="A68" s="39"/>
      <c r="B68" s="54"/>
      <c r="C68" s="240"/>
      <c r="D68" s="238"/>
      <c r="E68" s="229"/>
      <c r="F68" s="46"/>
      <c r="G68" s="5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s="49" customFormat="1" ht="15" customHeight="1" thickBot="1">
      <c r="A69" s="55"/>
      <c r="B69" s="46"/>
      <c r="C69" s="99"/>
      <c r="D69" s="238"/>
      <c r="E69" s="104"/>
      <c r="F69" s="46"/>
      <c r="G69" s="5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s="49" customFormat="1" ht="15" customHeight="1" thickBot="1">
      <c r="A70" s="29" t="s">
        <v>182</v>
      </c>
      <c r="B70" s="57">
        <v>14</v>
      </c>
      <c r="C70" s="239" t="s">
        <v>21</v>
      </c>
      <c r="D70" s="238"/>
      <c r="E70" s="228" t="s">
        <v>175</v>
      </c>
      <c r="F70" s="52">
        <v>13</v>
      </c>
      <c r="G70" s="29" t="s">
        <v>181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s="49" customFormat="1" ht="15" customHeight="1" thickBot="1">
      <c r="A71" s="59"/>
      <c r="B71" s="46"/>
      <c r="C71" s="240"/>
      <c r="D71" s="238"/>
      <c r="E71" s="229"/>
      <c r="F71" s="251"/>
      <c r="G71" s="252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s="49" customFormat="1" ht="15" customHeight="1" thickBot="1">
      <c r="A72" s="51"/>
      <c r="B72" s="46"/>
      <c r="C72" s="99"/>
      <c r="D72" s="238"/>
      <c r="E72" s="106"/>
      <c r="F72" s="253"/>
      <c r="G72" s="254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s="49" customFormat="1" ht="15" customHeight="1" thickBot="1">
      <c r="A73" s="29" t="s">
        <v>180</v>
      </c>
      <c r="B73" s="57">
        <v>12</v>
      </c>
      <c r="C73" s="239" t="s">
        <v>169</v>
      </c>
      <c r="D73" s="238"/>
      <c r="E73" s="228" t="s">
        <v>169</v>
      </c>
      <c r="F73" s="52">
        <v>11</v>
      </c>
      <c r="G73" s="213" t="s">
        <v>179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s="49" customFormat="1" ht="15" customHeight="1" thickBot="1">
      <c r="A74" s="59"/>
      <c r="B74" s="46"/>
      <c r="C74" s="240"/>
      <c r="D74" s="238"/>
      <c r="E74" s="229"/>
      <c r="F74" s="251"/>
      <c r="G74" s="252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s="49" customFormat="1" ht="15" customHeight="1" thickBot="1">
      <c r="A75" s="51"/>
      <c r="B75" s="46"/>
      <c r="C75" s="82"/>
      <c r="D75" s="238"/>
      <c r="E75" s="100"/>
      <c r="F75" s="253"/>
      <c r="G75" s="254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s="49" customFormat="1" ht="15" customHeight="1" thickBot="1">
      <c r="A76" s="29" t="s">
        <v>178</v>
      </c>
      <c r="B76" s="60">
        <v>10</v>
      </c>
      <c r="C76" s="239" t="s">
        <v>169</v>
      </c>
      <c r="D76" s="238"/>
      <c r="E76" s="228" t="s">
        <v>169</v>
      </c>
      <c r="F76" s="52">
        <v>9</v>
      </c>
      <c r="G76" s="213" t="s">
        <v>177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s="49" customFormat="1" ht="15" customHeight="1" thickBot="1">
      <c r="A77" s="234"/>
      <c r="B77" s="235"/>
      <c r="C77" s="240"/>
      <c r="D77" s="238"/>
      <c r="E77" s="229"/>
      <c r="F77" s="230"/>
      <c r="G77" s="23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s="49" customFormat="1" ht="15" customHeight="1" thickBot="1">
      <c r="A78" s="255"/>
      <c r="B78" s="256"/>
      <c r="C78" s="61"/>
      <c r="D78" s="238"/>
      <c r="E78" s="90"/>
      <c r="F78" s="232"/>
      <c r="G78" s="23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s="49" customFormat="1" ht="15" customHeight="1" thickBot="1">
      <c r="A79" s="227" t="s">
        <v>176</v>
      </c>
      <c r="B79" s="60">
        <v>8</v>
      </c>
      <c r="C79" s="239" t="s">
        <v>21</v>
      </c>
      <c r="D79" s="238"/>
      <c r="E79" s="239" t="s">
        <v>175</v>
      </c>
      <c r="F79" s="52">
        <v>7</v>
      </c>
      <c r="G79" s="29" t="s">
        <v>174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s="49" customFormat="1" ht="15" customHeight="1" thickBot="1">
      <c r="A80" s="234"/>
      <c r="B80" s="235"/>
      <c r="C80" s="240"/>
      <c r="D80" s="238"/>
      <c r="E80" s="240"/>
      <c r="F80" s="230"/>
      <c r="G80" s="23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s="49" customFormat="1" ht="15" customHeight="1" thickBot="1">
      <c r="A81" s="255"/>
      <c r="B81" s="256"/>
      <c r="C81" s="61"/>
      <c r="D81" s="238"/>
      <c r="E81" s="90"/>
      <c r="F81" s="232"/>
      <c r="G81" s="23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s="49" customFormat="1" ht="15" customHeight="1" thickBot="1">
      <c r="A82" s="29" t="s">
        <v>172</v>
      </c>
      <c r="B82" s="60">
        <v>6</v>
      </c>
      <c r="C82" s="239" t="s">
        <v>169</v>
      </c>
      <c r="D82" s="238"/>
      <c r="E82" s="239" t="s">
        <v>169</v>
      </c>
      <c r="F82" s="52">
        <v>5</v>
      </c>
      <c r="G82" s="29" t="s">
        <v>171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s="49" customFormat="1" ht="15" customHeight="1" thickBot="1">
      <c r="A83" s="234"/>
      <c r="B83" s="235"/>
      <c r="C83" s="240"/>
      <c r="D83" s="238"/>
      <c r="E83" s="240"/>
      <c r="F83" s="230"/>
      <c r="G83" s="23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s="49" customFormat="1" ht="15" customHeight="1" thickBot="1">
      <c r="A84" s="236"/>
      <c r="B84" s="237"/>
      <c r="C84" s="61"/>
      <c r="D84" s="238"/>
      <c r="E84" s="90"/>
      <c r="F84" s="232"/>
      <c r="G84" s="23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s="49" customFormat="1" ht="15" customHeight="1" thickBot="1">
      <c r="A85" s="29" t="s">
        <v>170</v>
      </c>
      <c r="B85" s="60">
        <v>4</v>
      </c>
      <c r="C85" s="239" t="s">
        <v>169</v>
      </c>
      <c r="D85" s="238"/>
      <c r="E85" s="239" t="s">
        <v>169</v>
      </c>
      <c r="F85" s="52">
        <v>3</v>
      </c>
      <c r="G85" s="29" t="s">
        <v>168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s="49" customFormat="1" ht="15" customHeight="1" thickBot="1">
      <c r="A86" s="234"/>
      <c r="B86" s="235"/>
      <c r="C86" s="240"/>
      <c r="D86" s="238"/>
      <c r="E86" s="240"/>
      <c r="F86" s="230"/>
      <c r="G86" s="23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s="49" customFormat="1" ht="15" customHeight="1" thickBot="1">
      <c r="A87" s="236"/>
      <c r="B87" s="237"/>
      <c r="C87" s="61"/>
      <c r="D87" s="238"/>
      <c r="E87" s="91"/>
      <c r="F87" s="232"/>
      <c r="G87" s="23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s="49" customFormat="1" ht="22.5" customHeight="1" thickBot="1">
      <c r="A88" s="29" t="s">
        <v>167</v>
      </c>
      <c r="B88" s="60">
        <v>2</v>
      </c>
      <c r="C88" s="239" t="s">
        <v>22</v>
      </c>
      <c r="D88" s="238"/>
      <c r="E88" s="239" t="s">
        <v>22</v>
      </c>
      <c r="F88" s="52">
        <v>1</v>
      </c>
      <c r="G88" s="117" t="s">
        <v>166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s="49" customFormat="1" ht="15" customHeight="1" thickBot="1">
      <c r="A89" s="234"/>
      <c r="B89" s="235"/>
      <c r="C89" s="240"/>
      <c r="D89" s="238"/>
      <c r="E89" s="240"/>
      <c r="F89" s="230"/>
      <c r="G89" s="23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s="49" customFormat="1" ht="15" customHeight="1" thickBot="1">
      <c r="A90" s="236"/>
      <c r="B90" s="237"/>
      <c r="C90" s="61"/>
      <c r="D90" s="62"/>
      <c r="E90" s="61"/>
      <c r="F90" s="232"/>
      <c r="G90" s="23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s="49" customFormat="1" ht="15" customHeight="1" thickBot="1">
      <c r="A91" s="63"/>
      <c r="B91" s="64"/>
      <c r="C91" s="244" t="s">
        <v>14</v>
      </c>
      <c r="D91" s="245"/>
      <c r="E91" s="246"/>
      <c r="F91" s="52"/>
      <c r="G91" s="6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s="49" customFormat="1" ht="15" customHeight="1" thickBot="1">
      <c r="A92" s="66"/>
      <c r="B92" s="110"/>
      <c r="C92" s="247"/>
      <c r="D92" s="248"/>
      <c r="E92" s="249"/>
      <c r="F92" s="110"/>
      <c r="G92" s="112" t="s">
        <v>15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s="49" customFormat="1" ht="19.5" customHeight="1">
      <c r="A93" s="67"/>
      <c r="B93" s="68"/>
      <c r="C93" s="250"/>
      <c r="D93" s="68"/>
      <c r="E93" s="68"/>
      <c r="F93" s="113" t="s">
        <v>169</v>
      </c>
      <c r="G93" s="114">
        <f>COUNTIF(C31:E89,F93)</f>
        <v>22</v>
      </c>
      <c r="H93" s="111"/>
      <c r="I93" s="111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s="49" customFormat="1" ht="18.75" customHeight="1">
      <c r="A94" s="18"/>
      <c r="B94" s="10"/>
      <c r="C94" s="250"/>
      <c r="D94" s="68"/>
      <c r="E94" s="109"/>
      <c r="F94" s="115" t="s">
        <v>175</v>
      </c>
      <c r="G94" s="114">
        <f t="shared" ref="G94:G102" si="0">COUNTIF(C32:E90,F94)</f>
        <v>3</v>
      </c>
      <c r="H94" s="111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s="49" customFormat="1" ht="18.75" customHeight="1">
      <c r="A95" s="18"/>
      <c r="B95" s="10"/>
      <c r="C95" s="10"/>
      <c r="D95" s="70"/>
      <c r="E95" s="95"/>
      <c r="F95" s="115" t="s">
        <v>21</v>
      </c>
      <c r="G95" s="114">
        <f t="shared" si="0"/>
        <v>3</v>
      </c>
      <c r="H95" s="111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s="49" customFormat="1" ht="12" customHeight="1">
      <c r="A96" s="69"/>
      <c r="B96" s="10"/>
      <c r="C96" s="10"/>
      <c r="D96" s="107"/>
      <c r="E96" s="70"/>
      <c r="F96" s="115" t="s">
        <v>23</v>
      </c>
      <c r="G96" s="114">
        <f t="shared" si="0"/>
        <v>2</v>
      </c>
      <c r="H96" s="11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s="49" customFormat="1" ht="15.75" customHeight="1">
      <c r="A97" s="70" t="s">
        <v>20</v>
      </c>
      <c r="B97" s="10"/>
      <c r="C97" s="10"/>
      <c r="D97" s="70"/>
      <c r="E97" s="10"/>
      <c r="F97" s="115" t="s">
        <v>187</v>
      </c>
      <c r="G97" s="114">
        <f t="shared" si="0"/>
        <v>1</v>
      </c>
      <c r="H97" s="11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s="49" customFormat="1" ht="23.25">
      <c r="A98" s="107"/>
      <c r="B98" s="108"/>
      <c r="C98" s="70"/>
      <c r="D98" s="95"/>
      <c r="E98" s="95"/>
      <c r="F98" s="115" t="s">
        <v>22</v>
      </c>
      <c r="G98" s="114">
        <f t="shared" si="0"/>
        <v>6</v>
      </c>
      <c r="H98" s="111"/>
      <c r="I98" s="8"/>
      <c r="J98" s="8"/>
      <c r="K98" s="8"/>
      <c r="L98" s="8"/>
      <c r="P98" s="8"/>
      <c r="Q98" s="8"/>
      <c r="R98" s="8"/>
      <c r="S98" s="8"/>
    </row>
    <row r="99" spans="1:19" s="49" customFormat="1" ht="15.75" customHeight="1">
      <c r="A99" s="70" t="s">
        <v>16</v>
      </c>
      <c r="B99" s="108"/>
      <c r="C99" s="107"/>
      <c r="D99" s="70"/>
      <c r="E99" s="70"/>
      <c r="F99" s="115" t="s">
        <v>27</v>
      </c>
      <c r="G99" s="114">
        <f t="shared" si="0"/>
        <v>0</v>
      </c>
      <c r="H99" s="111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s="49" customFormat="1" ht="14.25" customHeight="1">
      <c r="A100" s="70"/>
      <c r="B100" s="108"/>
      <c r="C100" s="70"/>
      <c r="D100" s="10"/>
      <c r="E100" s="10"/>
      <c r="F100" s="115" t="s">
        <v>28</v>
      </c>
      <c r="G100" s="114">
        <f t="shared" si="0"/>
        <v>0</v>
      </c>
      <c r="H100" s="11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s="8" customFormat="1" ht="12" customHeight="1">
      <c r="A101" s="18"/>
      <c r="B101" s="108"/>
      <c r="C101" s="10"/>
      <c r="D101" s="96"/>
      <c r="E101" s="70"/>
      <c r="F101" s="115" t="s">
        <v>29</v>
      </c>
      <c r="G101" s="114">
        <f t="shared" si="0"/>
        <v>0</v>
      </c>
      <c r="H101" s="111"/>
    </row>
    <row r="102" spans="1:19" s="8" customFormat="1" ht="15.75" customHeight="1">
      <c r="A102" s="69"/>
      <c r="B102" s="10"/>
      <c r="C102" s="10"/>
      <c r="D102" s="10"/>
      <c r="E102" s="10"/>
      <c r="F102" s="115" t="s">
        <v>24</v>
      </c>
      <c r="G102" s="114">
        <f t="shared" si="0"/>
        <v>0</v>
      </c>
      <c r="H102" s="111"/>
    </row>
    <row r="103" spans="1:19" s="8" customFormat="1" ht="15.75" customHeight="1">
      <c r="A103" s="71"/>
      <c r="B103" s="70"/>
      <c r="C103" s="70"/>
      <c r="D103" s="70"/>
      <c r="E103" s="70"/>
      <c r="F103" s="113" t="s">
        <v>26</v>
      </c>
      <c r="G103" s="116">
        <f>SUM(G93:G102)</f>
        <v>37</v>
      </c>
    </row>
    <row r="104" spans="1:19" s="8" customFormat="1" ht="14.25" customHeight="1">
      <c r="A104" s="72" t="s">
        <v>30</v>
      </c>
      <c r="B104" s="87"/>
      <c r="C104" s="243"/>
      <c r="D104" s="243"/>
      <c r="E104" s="243"/>
      <c r="F104" s="70"/>
      <c r="G104" s="73" t="s">
        <v>18</v>
      </c>
    </row>
    <row r="105" spans="1:19" s="8" customFormat="1" ht="17.25" customHeight="1" thickBot="1">
      <c r="A105" s="74" t="s">
        <v>19</v>
      </c>
      <c r="B105" s="75"/>
      <c r="C105" s="242"/>
      <c r="D105" s="242"/>
      <c r="E105" s="242"/>
      <c r="F105" s="76"/>
      <c r="G105" s="77" t="s">
        <v>17</v>
      </c>
    </row>
    <row r="106" spans="1:19" s="8" customFormat="1" ht="17.25" customHeight="1">
      <c r="A106" s="78"/>
      <c r="B106" s="79"/>
      <c r="C106" s="79"/>
      <c r="D106" s="79"/>
      <c r="E106" s="79"/>
      <c r="F106" s="79"/>
      <c r="G106" s="79"/>
    </row>
    <row r="107" spans="1:19" s="8" customFormat="1" ht="17.25" customHeight="1">
      <c r="A107" s="78"/>
      <c r="B107" s="79"/>
      <c r="C107" s="79"/>
      <c r="D107" s="79"/>
      <c r="E107" s="79"/>
      <c r="F107" s="79"/>
      <c r="G107" s="79"/>
    </row>
    <row r="108" spans="1:19" s="8" customFormat="1" ht="17.25" customHeight="1">
      <c r="A108" s="78"/>
      <c r="B108" s="79"/>
      <c r="C108" s="79"/>
      <c r="D108" s="79"/>
      <c r="E108" s="79"/>
      <c r="F108" s="79"/>
      <c r="G108" s="79"/>
    </row>
    <row r="109" spans="1:19" s="8" customFormat="1" ht="17.25" customHeight="1">
      <c r="A109" s="78"/>
      <c r="B109" s="79"/>
      <c r="C109" s="79"/>
      <c r="D109" s="79"/>
      <c r="E109" s="79"/>
      <c r="F109" s="79"/>
      <c r="G109" s="79"/>
    </row>
    <row r="110" spans="1:19" s="8" customFormat="1" ht="17.25" customHeight="1">
      <c r="A110" s="78"/>
      <c r="B110" s="79"/>
      <c r="C110" s="79"/>
      <c r="D110" s="79"/>
      <c r="E110" s="79"/>
      <c r="F110" s="79"/>
      <c r="G110" s="79"/>
    </row>
    <row r="111" spans="1:19" s="8" customFormat="1" ht="17.25" customHeight="1">
      <c r="A111" s="78"/>
      <c r="B111" s="79"/>
      <c r="C111" s="79"/>
      <c r="D111" s="79"/>
      <c r="E111" s="79"/>
      <c r="F111" s="79"/>
      <c r="G111" s="79"/>
    </row>
    <row r="112" spans="1:19" s="8" customFormat="1" ht="17.25" customHeight="1">
      <c r="A112" s="78"/>
      <c r="B112" s="79"/>
      <c r="C112" s="79"/>
      <c r="D112" s="79"/>
      <c r="E112" s="79"/>
      <c r="F112" s="79"/>
      <c r="G112" s="79"/>
    </row>
    <row r="113" spans="1:7" s="8" customFormat="1" ht="18.75" customHeight="1">
      <c r="A113" s="78"/>
      <c r="B113" s="79"/>
      <c r="C113" s="79"/>
      <c r="D113" s="79"/>
      <c r="E113" s="79"/>
      <c r="F113" s="79"/>
      <c r="G113" s="79"/>
    </row>
    <row r="114" spans="1:7" s="8" customFormat="1" ht="14.25" customHeight="1">
      <c r="A114" s="78"/>
      <c r="B114" s="79"/>
      <c r="C114" s="79"/>
      <c r="D114" s="79"/>
      <c r="E114" s="79"/>
      <c r="F114" s="79"/>
      <c r="G114" s="79"/>
    </row>
    <row r="115" spans="1:7" s="8" customFormat="1" ht="32.25" customHeight="1">
      <c r="A115" s="78"/>
      <c r="B115" s="79"/>
      <c r="C115" s="79"/>
      <c r="D115" s="79"/>
      <c r="E115" s="79"/>
      <c r="F115" s="79"/>
      <c r="G115" s="79"/>
    </row>
    <row r="116" spans="1:7" s="8" customFormat="1" ht="17.25" customHeight="1">
      <c r="A116" s="78"/>
      <c r="B116" s="79"/>
      <c r="C116" s="79"/>
      <c r="D116" s="79"/>
      <c r="E116" s="79"/>
      <c r="F116" s="79"/>
      <c r="G116" s="79"/>
    </row>
    <row r="117" spans="1:7" s="8" customFormat="1" ht="17.25" customHeight="1">
      <c r="A117" s="78"/>
      <c r="B117" s="79"/>
      <c r="C117" s="79"/>
      <c r="D117" s="79"/>
      <c r="E117" s="79"/>
      <c r="F117" s="79"/>
      <c r="G117" s="79"/>
    </row>
  </sheetData>
  <mergeCells count="76">
    <mergeCell ref="C11:C12"/>
    <mergeCell ref="E11:E12"/>
    <mergeCell ref="C14:C15"/>
    <mergeCell ref="E14:E15"/>
    <mergeCell ref="C17:C18"/>
    <mergeCell ref="E17:E18"/>
    <mergeCell ref="E67:E68"/>
    <mergeCell ref="A89:B90"/>
    <mergeCell ref="C37:C38"/>
    <mergeCell ref="E37:E38"/>
    <mergeCell ref="A1:G1"/>
    <mergeCell ref="C5:E5"/>
    <mergeCell ref="C6:E6"/>
    <mergeCell ref="C8:C9"/>
    <mergeCell ref="E8:E9"/>
    <mergeCell ref="C20:C21"/>
    <mergeCell ref="E20:E21"/>
    <mergeCell ref="C23:C24"/>
    <mergeCell ref="E23:E24"/>
    <mergeCell ref="C49:C50"/>
    <mergeCell ref="E49:E50"/>
    <mergeCell ref="C34:C35"/>
    <mergeCell ref="C26:C27"/>
    <mergeCell ref="E26:E27"/>
    <mergeCell ref="C29:C30"/>
    <mergeCell ref="E29:E30"/>
    <mergeCell ref="E46:E47"/>
    <mergeCell ref="C40:C41"/>
    <mergeCell ref="C46:C47"/>
    <mergeCell ref="E34:E35"/>
    <mergeCell ref="F71:G72"/>
    <mergeCell ref="F74:G75"/>
    <mergeCell ref="E76:E77"/>
    <mergeCell ref="C73:C74"/>
    <mergeCell ref="E73:E74"/>
    <mergeCell ref="C70:C71"/>
    <mergeCell ref="E70:E71"/>
    <mergeCell ref="F80:G81"/>
    <mergeCell ref="F77:G78"/>
    <mergeCell ref="C79:C80"/>
    <mergeCell ref="E79:E80"/>
    <mergeCell ref="F86:G87"/>
    <mergeCell ref="C82:C83"/>
    <mergeCell ref="E82:E83"/>
    <mergeCell ref="E40:E41"/>
    <mergeCell ref="A86:B87"/>
    <mergeCell ref="C105:E105"/>
    <mergeCell ref="C88:C89"/>
    <mergeCell ref="E88:E89"/>
    <mergeCell ref="C104:E104"/>
    <mergeCell ref="C91:E92"/>
    <mergeCell ref="C93:C94"/>
    <mergeCell ref="A80:B81"/>
    <mergeCell ref="A77:B78"/>
    <mergeCell ref="C61:C62"/>
    <mergeCell ref="E61:E62"/>
    <mergeCell ref="C64:C65"/>
    <mergeCell ref="E64:E65"/>
    <mergeCell ref="C58:C59"/>
    <mergeCell ref="C67:C68"/>
    <mergeCell ref="E58:E59"/>
    <mergeCell ref="F89:G90"/>
    <mergeCell ref="A83:B84"/>
    <mergeCell ref="F83:G84"/>
    <mergeCell ref="D31:D89"/>
    <mergeCell ref="C52:C53"/>
    <mergeCell ref="E52:E53"/>
    <mergeCell ref="C85:C86"/>
    <mergeCell ref="E85:E86"/>
    <mergeCell ref="C55:C56"/>
    <mergeCell ref="E55:E56"/>
    <mergeCell ref="C31:C32"/>
    <mergeCell ref="E31:E32"/>
    <mergeCell ref="C76:C77"/>
    <mergeCell ref="C43:C44"/>
    <mergeCell ref="E43:E44"/>
  </mergeCells>
  <conditionalFormatting sqref="G8">
    <cfRule type="expression" dxfId="0" priority="1" stopIfTrue="1">
      <formula>$B8&lt;&gt;""</formula>
    </cfRule>
  </conditionalFormatting>
  <printOptions horizontalCentered="1" verticalCentered="1"/>
  <pageMargins left="0" right="0" top="0" bottom="0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view="pageBreakPreview" zoomScale="160" zoomScaleSheetLayoutView="160" workbookViewId="0">
      <selection activeCell="C13" sqref="C13"/>
    </sheetView>
  </sheetViews>
  <sheetFormatPr defaultRowHeight="15"/>
  <cols>
    <col min="3" max="3" width="16.7109375" bestFit="1" customWidth="1"/>
  </cols>
  <sheetData>
    <row r="1" spans="1:9" ht="36">
      <c r="A1" s="267" t="s">
        <v>32</v>
      </c>
      <c r="B1" s="267"/>
      <c r="C1" s="267"/>
      <c r="D1" s="267"/>
      <c r="E1" s="267"/>
      <c r="F1" s="267"/>
      <c r="G1" s="267"/>
      <c r="H1" s="267"/>
      <c r="I1" s="267"/>
    </row>
    <row r="2" spans="1:9" ht="33.75">
      <c r="A2" s="118"/>
      <c r="B2" s="118"/>
      <c r="C2" s="118"/>
      <c r="D2" s="118"/>
      <c r="E2" s="118"/>
      <c r="F2" s="119"/>
      <c r="G2" s="118"/>
      <c r="H2" s="118"/>
      <c r="I2" s="118"/>
    </row>
    <row r="3" spans="1:9" ht="23.25">
      <c r="A3" s="120" t="s">
        <v>33</v>
      </c>
      <c r="B3" s="121"/>
      <c r="C3" s="122">
        <v>785101</v>
      </c>
      <c r="D3" s="122"/>
      <c r="E3" s="122" t="s">
        <v>34</v>
      </c>
      <c r="F3" s="123"/>
      <c r="G3" s="122" t="s">
        <v>319</v>
      </c>
      <c r="H3" s="122"/>
      <c r="I3" s="124"/>
    </row>
    <row r="4" spans="1:9" ht="23.25">
      <c r="A4" s="125">
        <v>1</v>
      </c>
      <c r="B4" s="268" t="s">
        <v>168</v>
      </c>
      <c r="C4" s="268"/>
      <c r="D4" s="268"/>
      <c r="E4" s="268"/>
      <c r="F4" s="268"/>
      <c r="G4" s="268"/>
    </row>
    <row r="5" spans="1:9" ht="23.25">
      <c r="A5" s="125">
        <v>2</v>
      </c>
      <c r="B5" s="268" t="s">
        <v>170</v>
      </c>
      <c r="C5" s="268"/>
      <c r="D5" s="268"/>
      <c r="E5" s="268"/>
      <c r="F5" s="268"/>
      <c r="G5" s="268"/>
    </row>
    <row r="6" spans="1:9" ht="23.25">
      <c r="A6" s="125">
        <v>3</v>
      </c>
      <c r="B6" s="268" t="s">
        <v>195</v>
      </c>
      <c r="C6" s="268"/>
      <c r="D6" s="268"/>
      <c r="E6" s="268"/>
      <c r="F6" s="268"/>
      <c r="G6" s="268"/>
    </row>
    <row r="7" spans="1:9" ht="23.25">
      <c r="A7" s="125">
        <v>4</v>
      </c>
      <c r="B7" s="226" t="s">
        <v>183</v>
      </c>
      <c r="C7" s="226"/>
      <c r="D7" s="226"/>
      <c r="E7" s="226"/>
      <c r="F7" s="226"/>
      <c r="G7" s="226"/>
    </row>
    <row r="8" spans="1:9" ht="23.25">
      <c r="A8" s="125">
        <v>5</v>
      </c>
      <c r="B8" s="226" t="s">
        <v>200</v>
      </c>
      <c r="C8" s="226"/>
      <c r="D8" s="226"/>
      <c r="E8" s="226"/>
      <c r="F8" s="226"/>
      <c r="G8" s="226"/>
    </row>
    <row r="9" spans="1:9" ht="23.25">
      <c r="A9" s="125">
        <v>6</v>
      </c>
      <c r="B9" s="226" t="s">
        <v>201</v>
      </c>
      <c r="C9" s="226"/>
      <c r="D9" s="226"/>
      <c r="E9" s="226"/>
      <c r="F9" s="226"/>
      <c r="G9" s="226"/>
    </row>
    <row r="10" spans="1:9" ht="23.25">
      <c r="A10" s="125">
        <v>7</v>
      </c>
      <c r="B10" s="226" t="s">
        <v>203</v>
      </c>
      <c r="C10" s="226"/>
      <c r="D10" s="226"/>
      <c r="E10" s="226"/>
      <c r="F10" s="226"/>
      <c r="G10" s="226"/>
    </row>
  </sheetData>
  <mergeCells count="4">
    <mergeCell ref="A1:I1"/>
    <mergeCell ref="B4:G4"/>
    <mergeCell ref="B5:G5"/>
    <mergeCell ref="B6:G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8"/>
  <sheetViews>
    <sheetView view="pageBreakPreview" zoomScale="115" zoomScaleSheetLayoutView="115" workbookViewId="0">
      <selection activeCell="F33" sqref="F33"/>
    </sheetView>
  </sheetViews>
  <sheetFormatPr defaultRowHeight="15"/>
  <cols>
    <col min="1" max="1" width="10.85546875" customWidth="1"/>
    <col min="2" max="2" width="12.42578125" customWidth="1"/>
    <col min="6" max="6" width="23.28515625" customWidth="1"/>
    <col min="7" max="7" width="12.5703125" customWidth="1"/>
    <col min="9" max="9" width="13" customWidth="1"/>
    <col min="11" max="11" width="27.42578125" customWidth="1"/>
  </cols>
  <sheetData>
    <row r="1" spans="1:11" ht="25.5">
      <c r="A1" s="308" t="s">
        <v>35</v>
      </c>
      <c r="B1" s="309"/>
      <c r="C1" s="310"/>
      <c r="D1" s="310"/>
      <c r="E1" s="310"/>
      <c r="F1" s="310"/>
      <c r="G1" s="310"/>
      <c r="H1" s="310"/>
      <c r="I1" s="310"/>
      <c r="J1" s="310"/>
      <c r="K1" s="311"/>
    </row>
    <row r="2" spans="1:11">
      <c r="A2" s="126" t="s">
        <v>36</v>
      </c>
      <c r="B2" s="127">
        <v>785101</v>
      </c>
      <c r="C2" s="312" t="s">
        <v>37</v>
      </c>
      <c r="D2" s="313"/>
      <c r="E2" s="128">
        <v>8918</v>
      </c>
      <c r="F2" s="129"/>
      <c r="G2" s="130" t="s">
        <v>38</v>
      </c>
      <c r="H2" s="131">
        <v>3</v>
      </c>
      <c r="I2" s="130" t="s">
        <v>39</v>
      </c>
      <c r="J2" s="130" t="s">
        <v>40</v>
      </c>
      <c r="K2" s="132"/>
    </row>
    <row r="3" spans="1:11">
      <c r="A3" s="126" t="s">
        <v>41</v>
      </c>
      <c r="B3" s="133"/>
      <c r="C3" s="314"/>
      <c r="D3" s="314"/>
      <c r="E3" s="134"/>
      <c r="F3" s="134"/>
      <c r="G3" s="130" t="s">
        <v>42</v>
      </c>
      <c r="H3" s="135"/>
      <c r="I3" s="135"/>
      <c r="J3" s="135"/>
      <c r="K3" s="136"/>
    </row>
    <row r="4" spans="1:11" ht="15.75" thickBot="1">
      <c r="A4" s="137" t="s">
        <v>43</v>
      </c>
      <c r="B4" s="138" t="s">
        <v>320</v>
      </c>
      <c r="C4" s="315"/>
      <c r="D4" s="316"/>
      <c r="E4" s="139"/>
      <c r="F4" s="140"/>
      <c r="G4" s="141" t="s">
        <v>44</v>
      </c>
      <c r="H4" s="142"/>
      <c r="I4" s="143"/>
      <c r="J4" s="135"/>
      <c r="K4" s="144"/>
    </row>
    <row r="5" spans="1:11">
      <c r="A5" s="317" t="s">
        <v>45</v>
      </c>
      <c r="B5" s="318"/>
      <c r="C5" s="318"/>
      <c r="D5" s="318"/>
      <c r="E5" s="318"/>
      <c r="F5" s="319"/>
      <c r="G5" s="320" t="s">
        <v>46</v>
      </c>
      <c r="H5" s="321"/>
      <c r="I5" s="321"/>
      <c r="J5" s="321"/>
      <c r="K5" s="322"/>
    </row>
    <row r="6" spans="1:11" ht="21">
      <c r="A6" s="145" t="s">
        <v>47</v>
      </c>
      <c r="B6" s="129" t="s">
        <v>48</v>
      </c>
      <c r="C6" s="129" t="s">
        <v>49</v>
      </c>
      <c r="D6" s="129" t="s">
        <v>50</v>
      </c>
      <c r="E6" s="129" t="s">
        <v>51</v>
      </c>
      <c r="F6" s="146" t="s">
        <v>52</v>
      </c>
      <c r="G6" s="295" t="s">
        <v>53</v>
      </c>
      <c r="H6" s="296"/>
      <c r="I6" s="297"/>
      <c r="J6" s="298" t="s">
        <v>54</v>
      </c>
      <c r="K6" s="299"/>
    </row>
    <row r="7" spans="1:11">
      <c r="A7" s="147" t="s">
        <v>55</v>
      </c>
      <c r="B7" s="148" t="s">
        <v>25</v>
      </c>
      <c r="C7" s="149">
        <v>22</v>
      </c>
      <c r="D7" s="150"/>
      <c r="E7" s="300" t="s">
        <v>56</v>
      </c>
      <c r="F7" s="274" t="s">
        <v>57</v>
      </c>
      <c r="G7" s="151"/>
      <c r="H7" s="152"/>
      <c r="I7" s="152"/>
      <c r="J7" s="152"/>
      <c r="K7" s="153"/>
    </row>
    <row r="8" spans="1:11">
      <c r="A8" s="302" t="s">
        <v>58</v>
      </c>
      <c r="B8" s="154" t="s">
        <v>59</v>
      </c>
      <c r="C8" s="149">
        <v>0</v>
      </c>
      <c r="D8" s="150"/>
      <c r="E8" s="301"/>
      <c r="F8" s="275"/>
      <c r="G8" s="151"/>
      <c r="H8" s="152"/>
      <c r="I8" s="152"/>
      <c r="J8" s="152"/>
      <c r="K8" s="153"/>
    </row>
    <row r="9" spans="1:11">
      <c r="A9" s="303"/>
      <c r="B9" s="154" t="s">
        <v>60</v>
      </c>
      <c r="C9" s="149">
        <v>0</v>
      </c>
      <c r="D9" s="150"/>
      <c r="E9" s="152"/>
      <c r="F9" s="155" t="s">
        <v>61</v>
      </c>
      <c r="G9" s="156"/>
      <c r="H9" s="152"/>
      <c r="I9" s="152"/>
      <c r="J9" s="152"/>
      <c r="K9" s="153"/>
    </row>
    <row r="10" spans="1:11">
      <c r="A10" s="303"/>
      <c r="B10" s="154" t="s">
        <v>62</v>
      </c>
      <c r="C10" s="149">
        <v>3</v>
      </c>
      <c r="D10" s="150"/>
      <c r="E10" s="152"/>
      <c r="F10" s="155" t="s">
        <v>63</v>
      </c>
      <c r="G10" s="151"/>
      <c r="H10" s="152"/>
      <c r="I10" s="152"/>
      <c r="J10" s="152"/>
      <c r="K10" s="153"/>
    </row>
    <row r="11" spans="1:11">
      <c r="A11" s="303"/>
      <c r="B11" s="154" t="s">
        <v>64</v>
      </c>
      <c r="C11" s="149">
        <v>0</v>
      </c>
      <c r="D11" s="150"/>
      <c r="E11" s="152"/>
      <c r="F11" s="155" t="s">
        <v>65</v>
      </c>
      <c r="G11" s="151"/>
      <c r="H11" s="152"/>
      <c r="I11" s="152"/>
      <c r="J11" s="152"/>
      <c r="K11" s="153"/>
    </row>
    <row r="12" spans="1:11">
      <c r="A12" s="303"/>
      <c r="B12" s="154" t="s">
        <v>66</v>
      </c>
      <c r="C12" s="149">
        <v>0</v>
      </c>
      <c r="D12" s="150"/>
      <c r="E12" s="152" t="s">
        <v>56</v>
      </c>
      <c r="F12" s="155" t="s">
        <v>67</v>
      </c>
      <c r="G12" s="151"/>
      <c r="H12" s="152"/>
      <c r="I12" s="152"/>
      <c r="J12" s="298" t="s">
        <v>68</v>
      </c>
      <c r="K12" s="299"/>
    </row>
    <row r="13" spans="1:11">
      <c r="A13" s="303"/>
      <c r="B13" s="154" t="s">
        <v>23</v>
      </c>
      <c r="C13" s="149">
        <v>3</v>
      </c>
      <c r="D13" s="150"/>
      <c r="E13" s="152" t="s">
        <v>56</v>
      </c>
      <c r="F13" s="155"/>
      <c r="G13" s="151"/>
      <c r="H13" s="152"/>
      <c r="I13" s="152"/>
      <c r="J13" s="152"/>
      <c r="K13" s="153"/>
    </row>
    <row r="14" spans="1:11">
      <c r="A14" s="303"/>
      <c r="B14" s="154" t="s">
        <v>69</v>
      </c>
      <c r="C14" s="149">
        <v>0</v>
      </c>
      <c r="D14" s="150"/>
      <c r="E14" s="152"/>
      <c r="F14" s="155" t="s">
        <v>70</v>
      </c>
      <c r="G14" s="151"/>
      <c r="H14" s="152"/>
      <c r="I14" s="152"/>
      <c r="J14" s="152"/>
      <c r="K14" s="153"/>
    </row>
    <row r="15" spans="1:11">
      <c r="A15" s="303"/>
      <c r="B15" s="157" t="s">
        <v>21</v>
      </c>
      <c r="C15" s="158">
        <v>3</v>
      </c>
      <c r="D15" s="150"/>
      <c r="E15" s="152" t="s">
        <v>56</v>
      </c>
      <c r="F15" s="155" t="s">
        <v>71</v>
      </c>
      <c r="G15" s="151"/>
      <c r="H15" s="152"/>
      <c r="I15" s="152"/>
      <c r="J15" s="152"/>
      <c r="K15" s="153"/>
    </row>
    <row r="16" spans="1:11">
      <c r="A16" s="303"/>
      <c r="B16" s="157" t="s">
        <v>22</v>
      </c>
      <c r="C16" s="158">
        <v>6</v>
      </c>
      <c r="D16" s="150"/>
      <c r="E16" s="152" t="s">
        <v>56</v>
      </c>
      <c r="F16" s="155" t="s">
        <v>72</v>
      </c>
      <c r="G16" s="151"/>
      <c r="H16" s="152"/>
      <c r="I16" s="152"/>
      <c r="J16" s="152"/>
      <c r="K16" s="153"/>
    </row>
    <row r="17" spans="1:11">
      <c r="A17" s="303"/>
      <c r="B17" s="157"/>
      <c r="C17" s="158"/>
      <c r="D17" s="159"/>
      <c r="E17" s="152" t="s">
        <v>56</v>
      </c>
      <c r="F17" s="155"/>
      <c r="G17" s="305"/>
      <c r="H17" s="306"/>
      <c r="I17" s="307"/>
      <c r="J17" s="298" t="s">
        <v>73</v>
      </c>
      <c r="K17" s="299"/>
    </row>
    <row r="18" spans="1:11">
      <c r="A18" s="304"/>
      <c r="B18" s="160" t="s">
        <v>74</v>
      </c>
      <c r="C18" s="158">
        <f>SUM(C7:C17)</f>
        <v>37</v>
      </c>
      <c r="D18" s="150"/>
      <c r="E18" s="152"/>
      <c r="F18" s="155" t="s">
        <v>75</v>
      </c>
      <c r="G18" s="151"/>
      <c r="H18" s="152"/>
      <c r="I18" s="152"/>
      <c r="J18" s="152"/>
      <c r="K18" s="153"/>
    </row>
    <row r="19" spans="1:11">
      <c r="A19" s="161"/>
      <c r="B19" s="162"/>
      <c r="C19" s="163"/>
      <c r="D19" s="150"/>
      <c r="E19" s="152"/>
      <c r="F19" s="274" t="s">
        <v>76</v>
      </c>
      <c r="G19" s="151"/>
      <c r="H19" s="152"/>
      <c r="I19" s="152"/>
      <c r="J19" s="152"/>
      <c r="K19" s="153"/>
    </row>
    <row r="20" spans="1:11" ht="22.5">
      <c r="A20" s="164" t="s">
        <v>77</v>
      </c>
      <c r="B20" s="165" t="s">
        <v>78</v>
      </c>
      <c r="C20" s="166" t="s">
        <v>79</v>
      </c>
      <c r="D20" s="150"/>
      <c r="E20" s="152"/>
      <c r="F20" s="275"/>
      <c r="G20" s="151"/>
      <c r="H20" s="152"/>
      <c r="I20" s="152"/>
      <c r="J20" s="152"/>
      <c r="K20" s="153"/>
    </row>
    <row r="21" spans="1:11" ht="22.5">
      <c r="A21" s="164" t="s">
        <v>80</v>
      </c>
      <c r="B21" s="165" t="s">
        <v>81</v>
      </c>
      <c r="C21" s="166" t="s">
        <v>79</v>
      </c>
      <c r="D21" s="150"/>
      <c r="E21" s="152"/>
      <c r="F21" s="155"/>
      <c r="G21" s="151"/>
      <c r="H21" s="152"/>
      <c r="I21" s="152"/>
      <c r="J21" s="152"/>
      <c r="K21" s="153"/>
    </row>
    <row r="22" spans="1:11" ht="22.5">
      <c r="A22" s="164" t="s">
        <v>82</v>
      </c>
      <c r="B22" s="165" t="s">
        <v>83</v>
      </c>
      <c r="C22" s="166" t="s">
        <v>79</v>
      </c>
      <c r="D22" s="150"/>
      <c r="E22" s="152"/>
      <c r="F22" s="155"/>
      <c r="G22" s="151"/>
      <c r="H22" s="152"/>
      <c r="I22" s="152"/>
      <c r="J22" s="152"/>
      <c r="K22" s="153"/>
    </row>
    <row r="23" spans="1:11" ht="15.75" thickBot="1">
      <c r="A23" s="269" t="s">
        <v>84</v>
      </c>
      <c r="B23" s="152"/>
      <c r="C23" s="139"/>
      <c r="D23" s="150"/>
      <c r="E23" s="152"/>
      <c r="F23" s="155"/>
      <c r="G23" s="167"/>
      <c r="H23" s="168"/>
      <c r="I23" s="168"/>
      <c r="J23" s="168"/>
      <c r="K23" s="169"/>
    </row>
    <row r="24" spans="1:11">
      <c r="A24" s="270"/>
      <c r="B24" s="170"/>
      <c r="C24" s="271"/>
      <c r="D24" s="171"/>
      <c r="E24" s="152"/>
      <c r="F24" s="274"/>
      <c r="G24" s="276" t="s">
        <v>85</v>
      </c>
      <c r="H24" s="277"/>
      <c r="I24" s="277"/>
      <c r="J24" s="277"/>
      <c r="K24" s="278"/>
    </row>
    <row r="25" spans="1:11">
      <c r="A25" s="164" t="s">
        <v>86</v>
      </c>
      <c r="B25" s="172" t="s">
        <v>87</v>
      </c>
      <c r="C25" s="272"/>
      <c r="D25" s="171"/>
      <c r="E25" s="152"/>
      <c r="F25" s="275"/>
      <c r="G25" s="173" t="s">
        <v>47</v>
      </c>
      <c r="H25" s="174" t="s">
        <v>51</v>
      </c>
      <c r="I25" s="152" t="s">
        <v>88</v>
      </c>
      <c r="J25" s="152" t="s">
        <v>89</v>
      </c>
      <c r="K25" s="153" t="s">
        <v>52</v>
      </c>
    </row>
    <row r="26" spans="1:11">
      <c r="A26" s="175"/>
      <c r="B26" s="172"/>
      <c r="C26" s="273"/>
      <c r="D26" s="176"/>
      <c r="E26" s="152"/>
      <c r="F26" s="155"/>
      <c r="G26" s="177" t="s">
        <v>90</v>
      </c>
      <c r="H26" s="152" t="s">
        <v>91</v>
      </c>
      <c r="I26" s="152" t="s">
        <v>92</v>
      </c>
      <c r="J26" s="163"/>
      <c r="K26" s="153" t="s">
        <v>93</v>
      </c>
    </row>
    <row r="27" spans="1:11" ht="15.75" thickBot="1">
      <c r="A27" s="164" t="s">
        <v>94</v>
      </c>
      <c r="B27" s="178" t="s">
        <v>95</v>
      </c>
      <c r="C27" s="179"/>
      <c r="D27" s="150"/>
      <c r="E27" s="152"/>
      <c r="F27" s="155" t="s">
        <v>96</v>
      </c>
      <c r="G27" s="180"/>
      <c r="H27" s="152"/>
      <c r="I27" s="152"/>
      <c r="J27" s="163"/>
      <c r="K27" s="153" t="s">
        <v>97</v>
      </c>
    </row>
    <row r="28" spans="1:11">
      <c r="A28" s="175"/>
      <c r="B28" s="181" t="s">
        <v>98</v>
      </c>
      <c r="C28" s="292"/>
      <c r="D28" s="171"/>
      <c r="E28" s="152"/>
      <c r="F28" s="155" t="s">
        <v>99</v>
      </c>
      <c r="G28" s="177" t="s">
        <v>100</v>
      </c>
      <c r="H28" s="152" t="s">
        <v>91</v>
      </c>
      <c r="I28" s="152" t="s">
        <v>92</v>
      </c>
      <c r="J28" s="163"/>
      <c r="K28" s="153" t="s">
        <v>101</v>
      </c>
    </row>
    <row r="29" spans="1:11">
      <c r="A29" s="164" t="s">
        <v>102</v>
      </c>
      <c r="B29" s="181"/>
      <c r="C29" s="293"/>
      <c r="D29" s="171"/>
      <c r="E29" s="152" t="s">
        <v>56</v>
      </c>
      <c r="F29" s="155" t="s">
        <v>103</v>
      </c>
      <c r="G29" s="180"/>
      <c r="H29" s="152"/>
      <c r="I29" s="163"/>
      <c r="J29" s="163"/>
      <c r="K29" s="153" t="s">
        <v>104</v>
      </c>
    </row>
    <row r="30" spans="1:11">
      <c r="A30" s="175"/>
      <c r="B30" s="181"/>
      <c r="C30" s="293"/>
      <c r="D30" s="171"/>
      <c r="E30" s="152"/>
      <c r="F30" s="155" t="s">
        <v>105</v>
      </c>
      <c r="G30" s="177" t="s">
        <v>106</v>
      </c>
      <c r="H30" s="152" t="s">
        <v>107</v>
      </c>
      <c r="I30" s="163"/>
      <c r="J30" s="163"/>
      <c r="K30" s="153"/>
    </row>
    <row r="31" spans="1:11">
      <c r="A31" s="175"/>
      <c r="B31" s="181"/>
      <c r="C31" s="293"/>
      <c r="D31" s="171"/>
      <c r="E31" s="152" t="s">
        <v>56</v>
      </c>
      <c r="F31" s="155" t="s">
        <v>108</v>
      </c>
      <c r="G31" s="180"/>
      <c r="H31" s="152"/>
      <c r="I31" s="163"/>
      <c r="J31" s="163"/>
      <c r="K31" s="153"/>
    </row>
    <row r="32" spans="1:11" ht="22.5">
      <c r="A32" s="164" t="s">
        <v>109</v>
      </c>
      <c r="B32" s="181"/>
      <c r="C32" s="293"/>
      <c r="D32" s="171"/>
      <c r="E32" s="152"/>
      <c r="F32" s="155" t="s">
        <v>110</v>
      </c>
      <c r="G32" s="182" t="s">
        <v>111</v>
      </c>
      <c r="H32" s="152" t="s">
        <v>112</v>
      </c>
      <c r="I32" s="163"/>
      <c r="J32" s="163"/>
      <c r="K32" s="153" t="s">
        <v>113</v>
      </c>
    </row>
    <row r="33" spans="1:11">
      <c r="A33" s="175"/>
      <c r="B33" s="181"/>
      <c r="C33" s="293"/>
      <c r="D33" s="171"/>
      <c r="E33" s="152"/>
      <c r="F33" s="155" t="s">
        <v>114</v>
      </c>
      <c r="G33" s="180"/>
      <c r="H33" s="152"/>
      <c r="I33" s="152"/>
      <c r="J33" s="163"/>
      <c r="K33" s="153"/>
    </row>
    <row r="34" spans="1:11" ht="15.75" thickBot="1">
      <c r="A34" s="175"/>
      <c r="B34" s="183"/>
      <c r="C34" s="294"/>
      <c r="D34" s="171"/>
      <c r="E34" s="152"/>
      <c r="F34" s="155" t="s">
        <v>115</v>
      </c>
      <c r="G34" s="177" t="s">
        <v>116</v>
      </c>
      <c r="H34" s="152" t="s">
        <v>112</v>
      </c>
      <c r="I34" s="163"/>
      <c r="J34" s="163"/>
      <c r="K34" s="153" t="s">
        <v>113</v>
      </c>
    </row>
    <row r="35" spans="1:11">
      <c r="A35" s="175"/>
      <c r="B35" s="152"/>
      <c r="C35" s="184"/>
      <c r="D35" s="150"/>
      <c r="E35" s="152"/>
      <c r="F35" s="155" t="s">
        <v>117</v>
      </c>
      <c r="G35" s="180" t="s">
        <v>118</v>
      </c>
      <c r="H35" s="152"/>
      <c r="I35" s="163"/>
      <c r="J35" s="163"/>
      <c r="K35" s="153"/>
    </row>
    <row r="36" spans="1:11" ht="22.5">
      <c r="A36" s="164" t="s">
        <v>119</v>
      </c>
      <c r="B36" s="163" t="s">
        <v>120</v>
      </c>
      <c r="C36" s="163" t="s">
        <v>121</v>
      </c>
      <c r="D36" s="150"/>
      <c r="E36" s="152"/>
      <c r="F36" s="155" t="s">
        <v>122</v>
      </c>
      <c r="G36" s="177" t="s">
        <v>123</v>
      </c>
      <c r="H36" s="152" t="s">
        <v>112</v>
      </c>
      <c r="I36" s="163"/>
      <c r="J36" s="163"/>
      <c r="K36" s="153" t="s">
        <v>113</v>
      </c>
    </row>
    <row r="37" spans="1:11">
      <c r="A37" s="185" t="s">
        <v>124</v>
      </c>
      <c r="B37" s="186"/>
      <c r="C37" s="165"/>
      <c r="D37" s="165"/>
      <c r="E37" s="152"/>
      <c r="F37" s="155"/>
      <c r="G37" s="180"/>
      <c r="H37" s="152"/>
      <c r="I37" s="152"/>
      <c r="J37" s="163"/>
      <c r="K37" s="153"/>
    </row>
    <row r="38" spans="1:11">
      <c r="A38" s="185" t="s">
        <v>25</v>
      </c>
      <c r="B38" s="187" t="s">
        <v>125</v>
      </c>
      <c r="C38" s="165" t="s">
        <v>126</v>
      </c>
      <c r="D38" s="187" t="s">
        <v>125</v>
      </c>
      <c r="E38" s="152"/>
      <c r="F38" s="155"/>
      <c r="G38" s="177" t="s">
        <v>127</v>
      </c>
      <c r="H38" s="152"/>
      <c r="I38" s="163"/>
      <c r="J38" s="163"/>
      <c r="K38" s="153" t="s">
        <v>128</v>
      </c>
    </row>
    <row r="39" spans="1:11" ht="15.75" thickBot="1">
      <c r="A39" s="188" t="s">
        <v>129</v>
      </c>
      <c r="B39" s="187" t="s">
        <v>130</v>
      </c>
      <c r="C39" s="189"/>
      <c r="D39" s="189"/>
      <c r="E39" s="168"/>
      <c r="F39" s="190"/>
      <c r="G39" s="191"/>
      <c r="H39" s="168"/>
      <c r="I39" s="192"/>
      <c r="J39" s="192"/>
      <c r="K39" s="169"/>
    </row>
    <row r="40" spans="1:11">
      <c r="A40" s="280" t="s">
        <v>131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2"/>
    </row>
    <row r="41" spans="1:11">
      <c r="A41" s="193" t="s">
        <v>132</v>
      </c>
      <c r="B41" s="194" t="s">
        <v>133</v>
      </c>
      <c r="C41" s="195" t="s">
        <v>133</v>
      </c>
      <c r="D41" s="150"/>
      <c r="E41" s="152"/>
      <c r="F41" s="174" t="s">
        <v>134</v>
      </c>
      <c r="G41" s="196" t="s">
        <v>135</v>
      </c>
      <c r="H41" s="152"/>
      <c r="I41" s="163"/>
      <c r="J41" s="163"/>
      <c r="K41" s="153" t="s">
        <v>136</v>
      </c>
    </row>
    <row r="42" spans="1:11">
      <c r="A42" s="197"/>
      <c r="B42" s="194"/>
      <c r="C42" s="194"/>
      <c r="D42" s="150"/>
      <c r="E42" s="152"/>
      <c r="F42" s="174"/>
      <c r="G42" s="196" t="s">
        <v>137</v>
      </c>
      <c r="H42" s="152" t="s">
        <v>138</v>
      </c>
      <c r="I42" s="163"/>
      <c r="J42" s="163"/>
      <c r="K42" s="153" t="s">
        <v>139</v>
      </c>
    </row>
    <row r="43" spans="1:11">
      <c r="A43" s="193" t="s">
        <v>140</v>
      </c>
      <c r="B43" s="194" t="s">
        <v>133</v>
      </c>
      <c r="C43" s="195" t="s">
        <v>133</v>
      </c>
      <c r="D43" s="150"/>
      <c r="E43" s="152"/>
      <c r="F43" s="174" t="s">
        <v>141</v>
      </c>
      <c r="G43" s="152"/>
      <c r="H43" s="152"/>
      <c r="I43" s="152"/>
      <c r="J43" s="152"/>
      <c r="K43" s="153"/>
    </row>
    <row r="44" spans="1:11">
      <c r="A44" s="197"/>
      <c r="B44" s="194"/>
      <c r="C44" s="195"/>
      <c r="D44" s="163"/>
      <c r="E44" s="152"/>
      <c r="F44" s="174" t="s">
        <v>142</v>
      </c>
      <c r="G44" s="196" t="s">
        <v>143</v>
      </c>
      <c r="H44" s="152"/>
      <c r="I44" s="163"/>
      <c r="J44" s="163"/>
      <c r="K44" s="153" t="s">
        <v>144</v>
      </c>
    </row>
    <row r="45" spans="1:11">
      <c r="A45" s="193" t="s">
        <v>145</v>
      </c>
      <c r="B45" s="194" t="s">
        <v>146</v>
      </c>
      <c r="C45" s="194" t="s">
        <v>146</v>
      </c>
      <c r="D45" s="150"/>
      <c r="E45" s="152"/>
      <c r="F45" s="174" t="s">
        <v>134</v>
      </c>
      <c r="G45" s="196" t="s">
        <v>147</v>
      </c>
      <c r="H45" s="152"/>
      <c r="I45" s="163"/>
      <c r="J45" s="163"/>
      <c r="K45" s="153" t="s">
        <v>148</v>
      </c>
    </row>
    <row r="46" spans="1:11">
      <c r="A46" s="197"/>
      <c r="B46" s="194"/>
      <c r="C46" s="195"/>
      <c r="D46" s="163"/>
      <c r="E46" s="152"/>
      <c r="F46" s="174"/>
      <c r="G46" s="196" t="s">
        <v>149</v>
      </c>
      <c r="H46" s="152" t="s">
        <v>150</v>
      </c>
      <c r="I46" s="163"/>
      <c r="J46" s="163"/>
      <c r="K46" s="153" t="s">
        <v>151</v>
      </c>
    </row>
    <row r="47" spans="1:11">
      <c r="A47" s="193" t="s">
        <v>152</v>
      </c>
      <c r="B47" s="194" t="s">
        <v>146</v>
      </c>
      <c r="C47" s="194" t="s">
        <v>146</v>
      </c>
      <c r="D47" s="150"/>
      <c r="E47" s="152"/>
      <c r="F47" s="174" t="s">
        <v>153</v>
      </c>
      <c r="G47" s="152"/>
      <c r="H47" s="152"/>
      <c r="I47" s="163"/>
      <c r="J47" s="163"/>
      <c r="K47" s="153" t="s">
        <v>154</v>
      </c>
    </row>
    <row r="48" spans="1:11" ht="15.75" thickBot="1">
      <c r="A48" s="283" t="s">
        <v>155</v>
      </c>
      <c r="B48" s="284"/>
      <c r="C48" s="198"/>
      <c r="D48" s="150"/>
      <c r="E48" s="152"/>
      <c r="F48" s="174"/>
      <c r="G48" s="152"/>
      <c r="H48" s="152"/>
      <c r="I48" s="163"/>
      <c r="J48" s="163"/>
      <c r="K48" s="153" t="s">
        <v>156</v>
      </c>
    </row>
    <row r="49" spans="1:11">
      <c r="A49" s="285"/>
      <c r="B49" s="286"/>
      <c r="C49" s="198"/>
      <c r="D49" s="150"/>
      <c r="E49" s="152"/>
      <c r="F49" s="174"/>
      <c r="G49" s="152"/>
      <c r="H49" s="152"/>
      <c r="I49" s="163"/>
      <c r="J49" s="163"/>
      <c r="K49" s="153" t="s">
        <v>157</v>
      </c>
    </row>
    <row r="50" spans="1:11">
      <c r="A50" s="285"/>
      <c r="B50" s="286"/>
      <c r="C50" s="163"/>
      <c r="D50" s="150"/>
      <c r="E50" s="152"/>
      <c r="F50" s="174"/>
      <c r="G50" s="152"/>
      <c r="H50" s="152"/>
      <c r="I50" s="152"/>
      <c r="J50" s="152"/>
      <c r="K50" s="153" t="s">
        <v>158</v>
      </c>
    </row>
    <row r="51" spans="1:11">
      <c r="A51" s="285"/>
      <c r="B51" s="286"/>
      <c r="C51" s="163"/>
      <c r="D51" s="163"/>
      <c r="E51" s="152"/>
      <c r="F51" s="174"/>
      <c r="G51" s="196" t="s">
        <v>159</v>
      </c>
      <c r="H51" s="199" t="s">
        <v>160</v>
      </c>
      <c r="I51" s="152"/>
      <c r="J51" s="152"/>
      <c r="K51" s="153" t="s">
        <v>161</v>
      </c>
    </row>
    <row r="52" spans="1:11">
      <c r="A52" s="285"/>
      <c r="B52" s="286"/>
      <c r="C52" s="163"/>
      <c r="D52" s="163"/>
      <c r="E52" s="152"/>
      <c r="F52" s="174"/>
      <c r="G52" s="200"/>
      <c r="H52" s="199"/>
      <c r="I52" s="163"/>
      <c r="J52" s="163"/>
      <c r="K52" s="153" t="s">
        <v>162</v>
      </c>
    </row>
    <row r="53" spans="1:11">
      <c r="A53" s="285"/>
      <c r="B53" s="286"/>
      <c r="C53" s="163"/>
      <c r="D53" s="163"/>
      <c r="E53" s="152"/>
      <c r="F53" s="174"/>
      <c r="G53" s="200"/>
      <c r="H53" s="199"/>
      <c r="I53" s="163"/>
      <c r="J53" s="163"/>
      <c r="K53" s="201" t="s">
        <v>163</v>
      </c>
    </row>
    <row r="54" spans="1:11">
      <c r="A54" s="285"/>
      <c r="B54" s="286"/>
      <c r="C54" s="139"/>
      <c r="D54" s="139"/>
      <c r="E54" s="202"/>
      <c r="F54" s="203"/>
      <c r="G54" s="204"/>
      <c r="H54" s="205"/>
      <c r="I54" s="139"/>
      <c r="J54" s="139"/>
      <c r="K54" s="206"/>
    </row>
    <row r="55" spans="1:11">
      <c r="A55" s="287"/>
      <c r="B55" s="288"/>
      <c r="C55" s="139"/>
      <c r="D55" s="139"/>
      <c r="E55" s="202"/>
      <c r="F55" s="203"/>
      <c r="G55" s="204"/>
      <c r="H55" s="205"/>
      <c r="I55" s="139"/>
      <c r="J55" s="139"/>
      <c r="K55" s="206"/>
    </row>
    <row r="56" spans="1:11" ht="15.75" thickBot="1">
      <c r="A56" s="207" t="s">
        <v>164</v>
      </c>
      <c r="B56" s="289" t="s">
        <v>165</v>
      </c>
      <c r="C56" s="290"/>
      <c r="D56" s="290"/>
      <c r="E56" s="290"/>
      <c r="F56" s="290"/>
      <c r="G56" s="290"/>
      <c r="H56" s="290"/>
      <c r="I56" s="290"/>
      <c r="J56" s="291"/>
      <c r="K56" s="208"/>
    </row>
    <row r="57" spans="1:11">
      <c r="A57" s="209"/>
      <c r="B57" s="210"/>
      <c r="C57" s="210"/>
      <c r="D57" s="210"/>
      <c r="E57" s="210"/>
      <c r="F57" s="211"/>
      <c r="G57" s="279"/>
      <c r="H57" s="279"/>
      <c r="I57" s="210"/>
      <c r="J57" s="210"/>
      <c r="K57" s="211"/>
    </row>
    <row r="58" spans="1:11">
      <c r="A58" s="210"/>
      <c r="B58" s="210"/>
      <c r="C58" s="212"/>
      <c r="D58" s="210"/>
      <c r="E58" s="210"/>
      <c r="F58" s="211"/>
      <c r="G58" s="279"/>
      <c r="H58" s="279"/>
      <c r="I58" s="212"/>
      <c r="J58" s="210"/>
      <c r="K58" s="211"/>
    </row>
  </sheetData>
  <mergeCells count="32">
    <mergeCell ref="A8:A18"/>
    <mergeCell ref="J12:K12"/>
    <mergeCell ref="G17:I17"/>
    <mergeCell ref="J17:K17"/>
    <mergeCell ref="A1:K1"/>
    <mergeCell ref="C2:D2"/>
    <mergeCell ref="C3:D3"/>
    <mergeCell ref="C4:D4"/>
    <mergeCell ref="A5:F5"/>
    <mergeCell ref="G5:K5"/>
    <mergeCell ref="C28:C34"/>
    <mergeCell ref="G6:I6"/>
    <mergeCell ref="J6:K6"/>
    <mergeCell ref="E7:E8"/>
    <mergeCell ref="F7:F8"/>
    <mergeCell ref="F19:F20"/>
    <mergeCell ref="A23:A24"/>
    <mergeCell ref="C24:C26"/>
    <mergeCell ref="F24:F25"/>
    <mergeCell ref="G24:K24"/>
    <mergeCell ref="G58:H58"/>
    <mergeCell ref="A40:K40"/>
    <mergeCell ref="A48:B48"/>
    <mergeCell ref="A49:B49"/>
    <mergeCell ref="A50:B50"/>
    <mergeCell ref="A51:B51"/>
    <mergeCell ref="A52:B52"/>
    <mergeCell ref="A53:B53"/>
    <mergeCell ref="A54:B54"/>
    <mergeCell ref="A55:B55"/>
    <mergeCell ref="B56:J56"/>
    <mergeCell ref="G57:H57"/>
  </mergeCells>
  <pageMargins left="0.7" right="0.7" top="0.75" bottom="0.75" header="0.3" footer="0.3"/>
  <pageSetup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70"/>
  <sheetViews>
    <sheetView tabSelected="1" zoomScale="85" zoomScaleNormal="85" workbookViewId="0">
      <selection activeCell="E38" sqref="E37:E38"/>
    </sheetView>
  </sheetViews>
  <sheetFormatPr defaultRowHeight="15"/>
  <cols>
    <col min="1" max="1" width="17.28515625" style="224" bestFit="1" customWidth="1"/>
    <col min="2" max="2" width="18.5703125" style="224" bestFit="1" customWidth="1"/>
    <col min="3" max="3" width="43.85546875" style="225" bestFit="1" customWidth="1"/>
    <col min="4" max="4" width="8.5703125" style="224" bestFit="1" customWidth="1"/>
    <col min="5" max="5" width="16" style="224" bestFit="1" customWidth="1"/>
    <col min="6" max="6" width="22.140625" style="224" bestFit="1" customWidth="1"/>
    <col min="7" max="7" width="15.42578125" style="224" bestFit="1" customWidth="1"/>
    <col min="8" max="8" width="18.5703125" style="224" bestFit="1" customWidth="1"/>
    <col min="9" max="9" width="22" style="224" bestFit="1" customWidth="1"/>
    <col min="10" max="10" width="13.85546875" style="224" bestFit="1" customWidth="1"/>
    <col min="11" max="11" width="13" style="224" bestFit="1" customWidth="1"/>
    <col min="12" max="12" width="16.42578125" style="224" bestFit="1" customWidth="1"/>
    <col min="13" max="13" width="11.42578125" style="224" bestFit="1" customWidth="1"/>
    <col min="14" max="14" width="11" bestFit="1" customWidth="1"/>
  </cols>
  <sheetData>
    <row r="1" spans="1:14" ht="28.5">
      <c r="A1" s="324" t="s">
        <v>205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</row>
    <row r="2" spans="1:14" ht="14.45" customHeight="1">
      <c r="A2" s="325" t="s">
        <v>206</v>
      </c>
      <c r="B2" s="325"/>
      <c r="C2" s="325"/>
      <c r="D2" s="325"/>
      <c r="E2" s="325"/>
      <c r="F2" s="325"/>
      <c r="G2" s="325"/>
      <c r="H2" s="325" t="s">
        <v>207</v>
      </c>
      <c r="I2" s="325"/>
      <c r="J2" s="325"/>
      <c r="K2" s="325"/>
      <c r="L2" s="325"/>
      <c r="M2" s="325"/>
      <c r="N2" s="325"/>
    </row>
    <row r="3" spans="1:14" ht="14.45" customHeight="1">
      <c r="A3" s="325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</row>
    <row r="4" spans="1:14" ht="18.95" customHeight="1">
      <c r="A4" s="326" t="s">
        <v>208</v>
      </c>
      <c r="B4" s="326"/>
      <c r="C4" s="326"/>
      <c r="D4" s="326"/>
      <c r="E4" s="326" t="s">
        <v>209</v>
      </c>
      <c r="F4" s="326"/>
      <c r="G4" s="326"/>
      <c r="H4" s="326"/>
      <c r="I4" s="326"/>
      <c r="J4" s="326" t="s">
        <v>210</v>
      </c>
      <c r="K4" s="326"/>
      <c r="L4" s="326"/>
      <c r="M4" s="326"/>
      <c r="N4" s="326"/>
    </row>
    <row r="5" spans="1:14" ht="15" customHeight="1">
      <c r="A5" s="327" t="s">
        <v>211</v>
      </c>
      <c r="B5" s="327"/>
      <c r="C5" s="328" t="s">
        <v>212</v>
      </c>
      <c r="D5" s="328"/>
      <c r="E5" s="329" t="s">
        <v>213</v>
      </c>
      <c r="F5" s="329"/>
      <c r="G5" s="329"/>
      <c r="H5" s="330">
        <f>SUM(L13:L55)</f>
        <v>35</v>
      </c>
      <c r="I5" s="330"/>
      <c r="J5" s="329" t="s">
        <v>214</v>
      </c>
      <c r="K5" s="329"/>
      <c r="L5" s="329"/>
      <c r="M5" s="323">
        <v>0.6</v>
      </c>
      <c r="N5" s="323"/>
    </row>
    <row r="6" spans="1:14" ht="15" customHeight="1">
      <c r="A6" s="327" t="s">
        <v>215</v>
      </c>
      <c r="B6" s="327"/>
      <c r="C6" s="332" t="s">
        <v>216</v>
      </c>
      <c r="D6" s="328"/>
      <c r="E6" s="327" t="s">
        <v>217</v>
      </c>
      <c r="F6" s="327"/>
      <c r="G6" s="327"/>
      <c r="H6" s="333">
        <f>$H$5-$H$7</f>
        <v>26.5</v>
      </c>
      <c r="I6" s="333"/>
      <c r="J6" s="329" t="s">
        <v>218</v>
      </c>
      <c r="K6" s="329"/>
      <c r="L6" s="329"/>
      <c r="M6" s="331">
        <v>480</v>
      </c>
      <c r="N6" s="331"/>
    </row>
    <row r="7" spans="1:14" ht="15" customHeight="1">
      <c r="A7" s="327" t="s">
        <v>219</v>
      </c>
      <c r="B7" s="327"/>
      <c r="C7" s="332" t="s">
        <v>220</v>
      </c>
      <c r="D7" s="328"/>
      <c r="E7" s="327" t="s">
        <v>221</v>
      </c>
      <c r="F7" s="327"/>
      <c r="G7" s="327"/>
      <c r="H7" s="333">
        <f>SUMIFS(L13:L55,N13:N55,"Yes")</f>
        <v>8.5</v>
      </c>
      <c r="I7" s="333"/>
      <c r="J7" s="329" t="s">
        <v>222</v>
      </c>
      <c r="K7" s="334"/>
      <c r="L7" s="334"/>
      <c r="M7" s="331">
        <f>ROUND(M6/C9*H9,0)</f>
        <v>648</v>
      </c>
      <c r="N7" s="331"/>
    </row>
    <row r="8" spans="1:14" ht="15" customHeight="1">
      <c r="A8" s="329" t="s">
        <v>223</v>
      </c>
      <c r="B8" s="329"/>
      <c r="C8" s="335">
        <v>25.32</v>
      </c>
      <c r="D8" s="335"/>
      <c r="E8" s="338" t="s">
        <v>224</v>
      </c>
      <c r="F8" s="338"/>
      <c r="G8" s="338"/>
      <c r="H8" s="336">
        <f>SUM(K13:K55)</f>
        <v>34.173000000000002</v>
      </c>
      <c r="I8" s="336"/>
      <c r="J8" s="329" t="s">
        <v>225</v>
      </c>
      <c r="K8" s="329"/>
      <c r="L8" s="329"/>
      <c r="M8" s="331">
        <f>ROUND(M7*M5,0)</f>
        <v>389</v>
      </c>
      <c r="N8" s="331"/>
    </row>
    <row r="9" spans="1:14" ht="15" customHeight="1">
      <c r="A9" s="214" t="s">
        <v>226</v>
      </c>
      <c r="B9" s="214"/>
      <c r="C9" s="335">
        <v>19.266999999999999</v>
      </c>
      <c r="D9" s="335"/>
      <c r="E9" s="338" t="s">
        <v>227</v>
      </c>
      <c r="F9" s="338"/>
      <c r="G9" s="338"/>
      <c r="H9" s="336">
        <v>26</v>
      </c>
      <c r="I9" s="336"/>
      <c r="J9" s="327" t="s">
        <v>228</v>
      </c>
      <c r="K9" s="334"/>
      <c r="L9" s="334"/>
      <c r="M9" s="337">
        <f>ROUND((M7/(M6/60)),0)</f>
        <v>81</v>
      </c>
      <c r="N9" s="337"/>
    </row>
    <row r="10" spans="1:14" ht="15" customHeight="1">
      <c r="A10" s="214" t="s">
        <v>229</v>
      </c>
      <c r="B10" s="214"/>
      <c r="C10" s="335">
        <v>6.0529999999999999</v>
      </c>
      <c r="D10" s="335"/>
      <c r="E10" s="215" t="s">
        <v>230</v>
      </c>
      <c r="F10" s="215"/>
      <c r="G10" s="215"/>
      <c r="H10" s="336">
        <f>SUMIFS(K13:K55,N13:N55,"Yes")</f>
        <v>8.168000000000001</v>
      </c>
      <c r="I10" s="336"/>
      <c r="J10" s="327" t="s">
        <v>231</v>
      </c>
      <c r="K10" s="334"/>
      <c r="L10" s="334"/>
      <c r="M10" s="337">
        <f>ROUND(M9*M5,0)</f>
        <v>49</v>
      </c>
      <c r="N10" s="337"/>
    </row>
    <row r="11" spans="1:14" ht="15" customHeight="1">
      <c r="A11" s="216"/>
      <c r="B11" s="216"/>
      <c r="C11" s="217"/>
      <c r="D11" s="216"/>
      <c r="E11" s="340" t="s">
        <v>232</v>
      </c>
      <c r="F11" s="340"/>
      <c r="G11" s="340"/>
      <c r="H11" s="341" t="s">
        <v>233</v>
      </c>
      <c r="I11" s="341"/>
      <c r="J11" s="327" t="s">
        <v>234</v>
      </c>
      <c r="K11" s="334"/>
      <c r="L11" s="334"/>
      <c r="M11" s="337" t="s">
        <v>235</v>
      </c>
      <c r="N11" s="337"/>
    </row>
    <row r="12" spans="1:14" ht="15" customHeight="1">
      <c r="A12" s="218" t="s">
        <v>236</v>
      </c>
      <c r="B12" s="218" t="s">
        <v>237</v>
      </c>
      <c r="C12" s="219" t="s">
        <v>219</v>
      </c>
      <c r="D12" s="218" t="s">
        <v>223</v>
      </c>
      <c r="E12" s="218" t="s">
        <v>238</v>
      </c>
      <c r="F12" s="218" t="s">
        <v>239</v>
      </c>
      <c r="G12" s="218" t="s">
        <v>240</v>
      </c>
      <c r="H12" s="218" t="s">
        <v>241</v>
      </c>
      <c r="I12" s="218" t="s">
        <v>242</v>
      </c>
      <c r="J12" s="218" t="s">
        <v>243</v>
      </c>
      <c r="K12" s="220" t="s">
        <v>244</v>
      </c>
      <c r="L12" s="220" t="s">
        <v>245</v>
      </c>
      <c r="M12" s="218" t="s">
        <v>52</v>
      </c>
      <c r="N12" s="218" t="s">
        <v>246</v>
      </c>
    </row>
    <row r="13" spans="1:14">
      <c r="A13" s="216">
        <v>1</v>
      </c>
      <c r="B13" s="216">
        <v>709</v>
      </c>
      <c r="C13" s="221" t="s">
        <v>185</v>
      </c>
      <c r="D13" s="216">
        <v>0.68600000000000005</v>
      </c>
      <c r="E13" s="216" t="s">
        <v>247</v>
      </c>
      <c r="F13" s="216" t="s">
        <v>248</v>
      </c>
      <c r="G13" s="216" t="s">
        <v>249</v>
      </c>
      <c r="H13" s="216" t="s">
        <v>250</v>
      </c>
      <c r="I13" s="216">
        <f t="shared" ref="I13:I55" si="0">ROUND($M$6/D13,0)</f>
        <v>700</v>
      </c>
      <c r="J13" s="216">
        <f t="shared" ref="J13:J55" si="1">ROUND(60/D13,0)</f>
        <v>87</v>
      </c>
      <c r="K13" s="216">
        <f>IF(J13=0,0,ROUND(80.967/87.464,3))</f>
        <v>0.92600000000000005</v>
      </c>
      <c r="L13" s="216">
        <f t="shared" ref="L13:L55" si="2">IF(AND(K13&gt;-0.1,K13&lt;=0.75),0.5,IF(AND(K13&gt;0.75,K13&lt;=1.25),1,IF(AND(K13&gt;1.25,K13&lt;=1.75),1.5,IF(AND(K13&gt;1.75,K13&lt;=2.25),2,IF(AND(K13&gt;2.25,K13&lt;=2.75),2.5,IF(AND(K13&gt;2.75,K13&lt;=3.25),3,IF(AND(K13&gt;3.25,K13&lt;=3.75),3.5,IF(AND(K13&gt;3.75,K13&lt;=4.25),4,IF(AND(K13&gt;4.25,K13&lt;=4.75),4.5,IF(AND(K13&gt;4.75,K13&lt;=5.25),5,IF(AND(K13&gt;5.25,K13&lt;=5.75),5.5,IF(AND(K13&gt;5.75,K13&lt;=6.25),6,IF(AND(K13&gt;6.25,K13&lt;=6.75),6.5,IF(AND(K13&gt;6.75,K13&lt;=7.25),7,IF(AND(K13&gt;7.25,K13&lt;=7.75),7.5,IF(AND(K13&gt;7.75,K13&lt;=8.25),8,IF(AND(K13&gt;8.25,K13&lt;=8.75),8.5,IF(AND(K13&gt;8.75,K13&lt;=9.25),9,IF(AND(K13&gt;9.25,K13&lt;=9.75),9.5,IF(AND(K13&gt;9.75,K13&lt;=10.25),10,11))))))))))))))))))))</f>
        <v>1</v>
      </c>
      <c r="M13" s="216" t="s">
        <v>251</v>
      </c>
      <c r="N13" s="222" t="s">
        <v>252</v>
      </c>
    </row>
    <row r="14" spans="1:14">
      <c r="A14" s="216">
        <v>2</v>
      </c>
      <c r="B14" s="216">
        <v>1268</v>
      </c>
      <c r="C14" s="221" t="s">
        <v>186</v>
      </c>
      <c r="D14" s="216">
        <v>0.37</v>
      </c>
      <c r="E14" s="216" t="s">
        <v>247</v>
      </c>
      <c r="F14" s="216" t="s">
        <v>248</v>
      </c>
      <c r="G14" s="216" t="s">
        <v>251</v>
      </c>
      <c r="H14" s="216" t="s">
        <v>23</v>
      </c>
      <c r="I14" s="216">
        <f t="shared" si="0"/>
        <v>1297</v>
      </c>
      <c r="J14" s="216">
        <f t="shared" si="1"/>
        <v>162</v>
      </c>
      <c r="K14" s="216">
        <f>IF(J14=0,0,ROUND(80.967/162.162,3))</f>
        <v>0.499</v>
      </c>
      <c r="L14" s="216">
        <f t="shared" si="2"/>
        <v>0.5</v>
      </c>
      <c r="M14" s="216" t="s">
        <v>251</v>
      </c>
      <c r="N14" s="222" t="s">
        <v>252</v>
      </c>
    </row>
    <row r="15" spans="1:14">
      <c r="A15" s="216">
        <v>3</v>
      </c>
      <c r="B15" s="216">
        <v>634</v>
      </c>
      <c r="C15" s="221" t="s">
        <v>188</v>
      </c>
      <c r="D15" s="216">
        <v>0.38400000000000001</v>
      </c>
      <c r="E15" s="216" t="s">
        <v>247</v>
      </c>
      <c r="F15" s="216" t="s">
        <v>248</v>
      </c>
      <c r="G15" s="216" t="s">
        <v>253</v>
      </c>
      <c r="H15" s="216" t="s">
        <v>254</v>
      </c>
      <c r="I15" s="216">
        <f t="shared" si="0"/>
        <v>1250</v>
      </c>
      <c r="J15" s="216">
        <f t="shared" si="1"/>
        <v>156</v>
      </c>
      <c r="K15" s="216">
        <f>IF(J15=0,0,ROUND(80.967/156.25,3))</f>
        <v>0.51800000000000002</v>
      </c>
      <c r="L15" s="216">
        <f t="shared" si="2"/>
        <v>0.5</v>
      </c>
      <c r="M15" s="216" t="s">
        <v>251</v>
      </c>
      <c r="N15" s="222" t="s">
        <v>255</v>
      </c>
    </row>
    <row r="16" spans="1:14">
      <c r="A16" s="216">
        <v>4</v>
      </c>
      <c r="B16" s="216">
        <v>432</v>
      </c>
      <c r="C16" s="221" t="s">
        <v>256</v>
      </c>
      <c r="D16" s="216">
        <v>0.12</v>
      </c>
      <c r="E16" s="216" t="s">
        <v>247</v>
      </c>
      <c r="F16" s="216" t="s">
        <v>248</v>
      </c>
      <c r="G16" s="216" t="s">
        <v>251</v>
      </c>
      <c r="H16" s="216" t="s">
        <v>257</v>
      </c>
      <c r="I16" s="216">
        <f t="shared" si="0"/>
        <v>4000</v>
      </c>
      <c r="J16" s="216">
        <f t="shared" si="1"/>
        <v>500</v>
      </c>
      <c r="K16" s="216">
        <f>IF(J16=0,0,ROUND(80.967/500,3))</f>
        <v>0.16200000000000001</v>
      </c>
      <c r="L16" s="216">
        <f t="shared" si="2"/>
        <v>0.5</v>
      </c>
      <c r="M16" s="216" t="s">
        <v>251</v>
      </c>
      <c r="N16" s="222" t="s">
        <v>255</v>
      </c>
    </row>
    <row r="17" spans="1:14">
      <c r="A17" s="216">
        <v>5</v>
      </c>
      <c r="B17" s="216">
        <v>181</v>
      </c>
      <c r="C17" s="221" t="s">
        <v>190</v>
      </c>
      <c r="D17" s="216">
        <v>0.52100000000000002</v>
      </c>
      <c r="E17" s="216" t="s">
        <v>247</v>
      </c>
      <c r="F17" s="216" t="s">
        <v>248</v>
      </c>
      <c r="G17" s="216" t="s">
        <v>258</v>
      </c>
      <c r="H17" s="216" t="s">
        <v>25</v>
      </c>
      <c r="I17" s="216">
        <f t="shared" si="0"/>
        <v>921</v>
      </c>
      <c r="J17" s="216">
        <f t="shared" si="1"/>
        <v>115</v>
      </c>
      <c r="K17" s="216">
        <f>IF(J17=0,0,ROUND(80.967/115.163,3))</f>
        <v>0.70299999999999996</v>
      </c>
      <c r="L17" s="216">
        <f t="shared" si="2"/>
        <v>0.5</v>
      </c>
      <c r="M17" s="216" t="s">
        <v>251</v>
      </c>
      <c r="N17" s="222" t="s">
        <v>252</v>
      </c>
    </row>
    <row r="18" spans="1:14">
      <c r="A18" s="216">
        <v>6</v>
      </c>
      <c r="B18" s="216">
        <v>1270</v>
      </c>
      <c r="C18" s="221" t="s">
        <v>191</v>
      </c>
      <c r="D18" s="216">
        <v>0.81</v>
      </c>
      <c r="E18" s="216" t="s">
        <v>247</v>
      </c>
      <c r="F18" s="216" t="s">
        <v>248</v>
      </c>
      <c r="G18" s="216" t="s">
        <v>259</v>
      </c>
      <c r="H18" s="216" t="s">
        <v>254</v>
      </c>
      <c r="I18" s="216">
        <f t="shared" si="0"/>
        <v>593</v>
      </c>
      <c r="J18" s="216">
        <f t="shared" si="1"/>
        <v>74</v>
      </c>
      <c r="K18" s="216">
        <f>IF(J18=0,0,ROUND(80.967/74.074,3))</f>
        <v>1.093</v>
      </c>
      <c r="L18" s="216">
        <f t="shared" si="2"/>
        <v>1</v>
      </c>
      <c r="M18" s="216" t="s">
        <v>251</v>
      </c>
      <c r="N18" s="222" t="s">
        <v>255</v>
      </c>
    </row>
    <row r="19" spans="1:14">
      <c r="A19" s="216">
        <v>7</v>
      </c>
      <c r="B19" s="216">
        <v>15756</v>
      </c>
      <c r="C19" s="217" t="s">
        <v>260</v>
      </c>
      <c r="D19" s="216">
        <v>1.1060000000000001</v>
      </c>
      <c r="E19" s="216" t="s">
        <v>247</v>
      </c>
      <c r="F19" s="216" t="s">
        <v>261</v>
      </c>
      <c r="G19" s="216" t="s">
        <v>259</v>
      </c>
      <c r="H19" s="216" t="s">
        <v>257</v>
      </c>
      <c r="I19" s="216">
        <f t="shared" si="0"/>
        <v>434</v>
      </c>
      <c r="J19" s="216">
        <f t="shared" si="1"/>
        <v>54</v>
      </c>
      <c r="K19" s="216">
        <f>IF(J19=0,0,ROUND(80.967/54.25,3))</f>
        <v>1.492</v>
      </c>
      <c r="L19" s="216">
        <f t="shared" si="2"/>
        <v>1.5</v>
      </c>
      <c r="M19" s="216" t="s">
        <v>251</v>
      </c>
      <c r="N19" s="222" t="s">
        <v>255</v>
      </c>
    </row>
    <row r="20" spans="1:14">
      <c r="A20" s="216">
        <v>8</v>
      </c>
      <c r="B20" s="216">
        <v>19013</v>
      </c>
      <c r="C20" s="217" t="s">
        <v>262</v>
      </c>
      <c r="D20" s="216">
        <v>1.1060000000000001</v>
      </c>
      <c r="E20" s="216" t="s">
        <v>263</v>
      </c>
      <c r="F20" s="216" t="s">
        <v>264</v>
      </c>
      <c r="G20" s="216" t="s">
        <v>259</v>
      </c>
      <c r="H20" s="216" t="s">
        <v>257</v>
      </c>
      <c r="I20" s="216">
        <f t="shared" si="0"/>
        <v>434</v>
      </c>
      <c r="J20" s="216">
        <f t="shared" si="1"/>
        <v>54</v>
      </c>
      <c r="K20" s="216">
        <f>IF(J20=0,0,ROUND(80.967/54.25,3))</f>
        <v>1.492</v>
      </c>
      <c r="L20" s="216">
        <f t="shared" si="2"/>
        <v>1.5</v>
      </c>
      <c r="M20" s="216" t="s">
        <v>251</v>
      </c>
      <c r="N20" s="222" t="s">
        <v>255</v>
      </c>
    </row>
    <row r="21" spans="1:14">
      <c r="A21" s="216">
        <v>9</v>
      </c>
      <c r="B21" s="216">
        <v>12557</v>
      </c>
      <c r="C21" s="217" t="s">
        <v>265</v>
      </c>
      <c r="D21" s="216">
        <v>0.8</v>
      </c>
      <c r="E21" s="216" t="s">
        <v>263</v>
      </c>
      <c r="F21" s="216" t="s">
        <v>266</v>
      </c>
      <c r="G21" s="216" t="s">
        <v>259</v>
      </c>
      <c r="H21" s="216" t="s">
        <v>257</v>
      </c>
      <c r="I21" s="216">
        <f t="shared" si="0"/>
        <v>600</v>
      </c>
      <c r="J21" s="216">
        <f t="shared" si="1"/>
        <v>75</v>
      </c>
      <c r="K21" s="216">
        <f>IF(J21=0,0,ROUND(80.967/75,3))</f>
        <v>1.08</v>
      </c>
      <c r="L21" s="216">
        <f t="shared" si="2"/>
        <v>1</v>
      </c>
      <c r="M21" s="216" t="s">
        <v>251</v>
      </c>
      <c r="N21" s="222" t="s">
        <v>255</v>
      </c>
    </row>
    <row r="22" spans="1:14">
      <c r="A22" s="216">
        <v>10</v>
      </c>
      <c r="B22" s="216">
        <v>561</v>
      </c>
      <c r="C22" s="217" t="s">
        <v>267</v>
      </c>
      <c r="D22" s="216">
        <v>0.34</v>
      </c>
      <c r="E22" s="216" t="s">
        <v>247</v>
      </c>
      <c r="F22" s="216" t="s">
        <v>261</v>
      </c>
      <c r="G22" s="216" t="s">
        <v>251</v>
      </c>
      <c r="H22" s="216" t="s">
        <v>23</v>
      </c>
      <c r="I22" s="216">
        <f t="shared" si="0"/>
        <v>1412</v>
      </c>
      <c r="J22" s="216">
        <f t="shared" si="1"/>
        <v>176</v>
      </c>
      <c r="K22" s="216">
        <f>IF(J22=0,0,ROUND(80.967/176.471,3))</f>
        <v>0.45900000000000002</v>
      </c>
      <c r="L22" s="216">
        <f t="shared" si="2"/>
        <v>0.5</v>
      </c>
      <c r="M22" s="216" t="s">
        <v>251</v>
      </c>
      <c r="N22" s="222" t="s">
        <v>252</v>
      </c>
    </row>
    <row r="23" spans="1:14">
      <c r="A23" s="216">
        <v>11</v>
      </c>
      <c r="B23" s="216">
        <v>16750</v>
      </c>
      <c r="C23" s="221" t="s">
        <v>168</v>
      </c>
      <c r="D23" s="216">
        <v>0.4</v>
      </c>
      <c r="E23" s="216" t="s">
        <v>263</v>
      </c>
      <c r="F23" s="216" t="s">
        <v>261</v>
      </c>
      <c r="G23" s="216" t="s">
        <v>268</v>
      </c>
      <c r="H23" s="216" t="s">
        <v>250</v>
      </c>
      <c r="I23" s="216">
        <f t="shared" si="0"/>
        <v>1200</v>
      </c>
      <c r="J23" s="216">
        <f t="shared" si="1"/>
        <v>150</v>
      </c>
      <c r="K23" s="216">
        <f>IF(J23=0,0,ROUND(80.967/150,3))</f>
        <v>0.54</v>
      </c>
      <c r="L23" s="216">
        <f t="shared" si="2"/>
        <v>0.5</v>
      </c>
      <c r="M23" s="216" t="s">
        <v>251</v>
      </c>
      <c r="N23" s="222" t="s">
        <v>252</v>
      </c>
    </row>
    <row r="24" spans="1:14">
      <c r="A24" s="216">
        <v>12</v>
      </c>
      <c r="B24" s="216">
        <v>14361</v>
      </c>
      <c r="C24" s="221" t="s">
        <v>170</v>
      </c>
      <c r="D24" s="216">
        <v>0.38</v>
      </c>
      <c r="E24" s="216" t="s">
        <v>263</v>
      </c>
      <c r="F24" s="216" t="s">
        <v>261</v>
      </c>
      <c r="G24" s="216" t="s">
        <v>268</v>
      </c>
      <c r="H24" s="216" t="s">
        <v>250</v>
      </c>
      <c r="I24" s="216">
        <f t="shared" si="0"/>
        <v>1263</v>
      </c>
      <c r="J24" s="216">
        <f t="shared" si="1"/>
        <v>158</v>
      </c>
      <c r="K24" s="216">
        <f>IF(J24=0,0,ROUND(80.967/157.895,3))</f>
        <v>0.51300000000000001</v>
      </c>
      <c r="L24" s="216">
        <f t="shared" si="2"/>
        <v>0.5</v>
      </c>
      <c r="M24" s="216" t="s">
        <v>251</v>
      </c>
      <c r="N24" s="222" t="s">
        <v>252</v>
      </c>
    </row>
    <row r="25" spans="1:14">
      <c r="A25" s="216">
        <v>13</v>
      </c>
      <c r="B25" s="216">
        <v>458</v>
      </c>
      <c r="C25" s="221" t="s">
        <v>176</v>
      </c>
      <c r="D25" s="216">
        <v>0.314</v>
      </c>
      <c r="E25" s="216" t="s">
        <v>247</v>
      </c>
      <c r="F25" s="216" t="s">
        <v>266</v>
      </c>
      <c r="G25" s="216" t="s">
        <v>269</v>
      </c>
      <c r="H25" s="216" t="s">
        <v>257</v>
      </c>
      <c r="I25" s="216">
        <f t="shared" si="0"/>
        <v>1529</v>
      </c>
      <c r="J25" s="216">
        <f t="shared" si="1"/>
        <v>191</v>
      </c>
      <c r="K25" s="216">
        <f>IF(J25=0,0,ROUND(80.967/191.083,3))</f>
        <v>0.42399999999999999</v>
      </c>
      <c r="L25" s="216">
        <f t="shared" si="2"/>
        <v>0.5</v>
      </c>
      <c r="M25" s="216" t="s">
        <v>251</v>
      </c>
      <c r="N25" s="222" t="s">
        <v>255</v>
      </c>
    </row>
    <row r="26" spans="1:14">
      <c r="A26" s="216">
        <v>14</v>
      </c>
      <c r="B26" s="216">
        <v>4236</v>
      </c>
      <c r="C26" s="221" t="s">
        <v>177</v>
      </c>
      <c r="D26" s="216">
        <v>0.54300000000000004</v>
      </c>
      <c r="E26" s="216" t="s">
        <v>247</v>
      </c>
      <c r="F26" s="216" t="s">
        <v>266</v>
      </c>
      <c r="G26" s="216" t="s">
        <v>270</v>
      </c>
      <c r="H26" s="216" t="s">
        <v>25</v>
      </c>
      <c r="I26" s="216">
        <f t="shared" si="0"/>
        <v>884</v>
      </c>
      <c r="J26" s="216">
        <f t="shared" si="1"/>
        <v>110</v>
      </c>
      <c r="K26" s="216">
        <f>IF(J26=0,0,ROUND(80.967/110.497,3))</f>
        <v>0.73299999999999998</v>
      </c>
      <c r="L26" s="216">
        <f t="shared" si="2"/>
        <v>0.5</v>
      </c>
      <c r="M26" s="216" t="s">
        <v>251</v>
      </c>
      <c r="N26" s="222" t="s">
        <v>252</v>
      </c>
    </row>
    <row r="27" spans="1:14">
      <c r="A27" s="216">
        <v>15</v>
      </c>
      <c r="B27" s="216">
        <v>1594</v>
      </c>
      <c r="C27" s="217" t="s">
        <v>271</v>
      </c>
      <c r="D27" s="216">
        <v>0.125</v>
      </c>
      <c r="E27" s="216" t="s">
        <v>247</v>
      </c>
      <c r="F27" s="216" t="s">
        <v>272</v>
      </c>
      <c r="G27" s="216" t="s">
        <v>251</v>
      </c>
      <c r="H27" s="216" t="s">
        <v>250</v>
      </c>
      <c r="I27" s="216">
        <f t="shared" si="0"/>
        <v>3840</v>
      </c>
      <c r="J27" s="216">
        <f t="shared" si="1"/>
        <v>480</v>
      </c>
      <c r="K27" s="216">
        <f>IF(J27=0,0,ROUND(80.967/480,3))</f>
        <v>0.16900000000000001</v>
      </c>
      <c r="L27" s="216">
        <f t="shared" si="2"/>
        <v>0.5</v>
      </c>
      <c r="M27" s="216" t="s">
        <v>251</v>
      </c>
      <c r="N27" s="222" t="s">
        <v>252</v>
      </c>
    </row>
    <row r="28" spans="1:14">
      <c r="A28" s="216">
        <v>16</v>
      </c>
      <c r="B28" s="216">
        <v>329</v>
      </c>
      <c r="C28" s="221" t="s">
        <v>178</v>
      </c>
      <c r="D28" s="216">
        <v>0.434</v>
      </c>
      <c r="E28" s="216" t="s">
        <v>247</v>
      </c>
      <c r="F28" s="216" t="s">
        <v>266</v>
      </c>
      <c r="G28" s="216" t="s">
        <v>273</v>
      </c>
      <c r="H28" s="216" t="s">
        <v>25</v>
      </c>
      <c r="I28" s="216">
        <f t="shared" si="0"/>
        <v>1106</v>
      </c>
      <c r="J28" s="216">
        <f t="shared" si="1"/>
        <v>138</v>
      </c>
      <c r="K28" s="216">
        <f>IF(J28=0,0,ROUND(80.967/138.249,3))</f>
        <v>0.58599999999999997</v>
      </c>
      <c r="L28" s="216">
        <f t="shared" si="2"/>
        <v>0.5</v>
      </c>
      <c r="M28" s="216" t="s">
        <v>251</v>
      </c>
      <c r="N28" s="222" t="s">
        <v>252</v>
      </c>
    </row>
    <row r="29" spans="1:14">
      <c r="A29" s="216">
        <v>17</v>
      </c>
      <c r="B29" s="216">
        <v>463</v>
      </c>
      <c r="C29" s="221" t="s">
        <v>179</v>
      </c>
      <c r="D29" s="216">
        <v>0.26</v>
      </c>
      <c r="E29" s="216" t="s">
        <v>247</v>
      </c>
      <c r="F29" s="216" t="s">
        <v>266</v>
      </c>
      <c r="G29" s="216" t="s">
        <v>251</v>
      </c>
      <c r="H29" s="216" t="s">
        <v>250</v>
      </c>
      <c r="I29" s="216">
        <f t="shared" si="0"/>
        <v>1846</v>
      </c>
      <c r="J29" s="216">
        <f t="shared" si="1"/>
        <v>231</v>
      </c>
      <c r="K29" s="216">
        <f>IF(J29=0,0,ROUND(80.967/230.769,3))</f>
        <v>0.35099999999999998</v>
      </c>
      <c r="L29" s="216">
        <f t="shared" si="2"/>
        <v>0.5</v>
      </c>
      <c r="M29" s="216" t="s">
        <v>251</v>
      </c>
      <c r="N29" s="222" t="s">
        <v>252</v>
      </c>
    </row>
    <row r="30" spans="1:14">
      <c r="A30" s="216">
        <v>18</v>
      </c>
      <c r="B30" s="216">
        <v>330</v>
      </c>
      <c r="C30" s="221" t="s">
        <v>180</v>
      </c>
      <c r="D30" s="216">
        <v>0.57199999999999995</v>
      </c>
      <c r="E30" s="216" t="s">
        <v>247</v>
      </c>
      <c r="F30" s="216" t="s">
        <v>266</v>
      </c>
      <c r="G30" s="216" t="s">
        <v>274</v>
      </c>
      <c r="H30" s="216" t="s">
        <v>25</v>
      </c>
      <c r="I30" s="216">
        <f t="shared" si="0"/>
        <v>839</v>
      </c>
      <c r="J30" s="216">
        <f t="shared" si="1"/>
        <v>105</v>
      </c>
      <c r="K30" s="216">
        <f>IF(J30=0,0,ROUND(80.967/104.895,3))</f>
        <v>0.77200000000000002</v>
      </c>
      <c r="L30" s="216">
        <f t="shared" si="2"/>
        <v>1</v>
      </c>
      <c r="M30" s="216" t="s">
        <v>251</v>
      </c>
      <c r="N30" s="222" t="s">
        <v>252</v>
      </c>
    </row>
    <row r="31" spans="1:14">
      <c r="A31" s="216">
        <v>19</v>
      </c>
      <c r="B31" s="216">
        <v>1128</v>
      </c>
      <c r="C31" s="221" t="s">
        <v>181</v>
      </c>
      <c r="D31" s="216">
        <v>0.48</v>
      </c>
      <c r="E31" s="216" t="s">
        <v>247</v>
      </c>
      <c r="F31" s="216" t="s">
        <v>266</v>
      </c>
      <c r="G31" s="216" t="s">
        <v>275</v>
      </c>
      <c r="H31" s="216" t="s">
        <v>276</v>
      </c>
      <c r="I31" s="216">
        <f t="shared" si="0"/>
        <v>1000</v>
      </c>
      <c r="J31" s="216">
        <f t="shared" si="1"/>
        <v>125</v>
      </c>
      <c r="K31" s="216">
        <f>IF(J31=0,0,ROUND(80.967/125,3))</f>
        <v>0.64800000000000002</v>
      </c>
      <c r="L31" s="216">
        <f t="shared" si="2"/>
        <v>0.5</v>
      </c>
      <c r="M31" s="216" t="s">
        <v>251</v>
      </c>
      <c r="N31" s="222" t="s">
        <v>252</v>
      </c>
    </row>
    <row r="32" spans="1:14">
      <c r="A32" s="216">
        <v>20</v>
      </c>
      <c r="B32" s="216">
        <v>15</v>
      </c>
      <c r="C32" s="221" t="s">
        <v>197</v>
      </c>
      <c r="D32" s="216">
        <v>0.66300000000000003</v>
      </c>
      <c r="E32" s="216" t="s">
        <v>263</v>
      </c>
      <c r="F32" s="216" t="s">
        <v>277</v>
      </c>
      <c r="G32" s="216" t="s">
        <v>253</v>
      </c>
      <c r="H32" s="216" t="s">
        <v>254</v>
      </c>
      <c r="I32" s="216">
        <f t="shared" si="0"/>
        <v>724</v>
      </c>
      <c r="J32" s="216">
        <f t="shared" si="1"/>
        <v>90</v>
      </c>
      <c r="K32" s="216">
        <f>IF(J32=0,0,ROUND(80.967/90.498,3))</f>
        <v>0.89500000000000002</v>
      </c>
      <c r="L32" s="216">
        <f t="shared" si="2"/>
        <v>1</v>
      </c>
      <c r="M32" s="216" t="s">
        <v>251</v>
      </c>
      <c r="N32" s="222" t="s">
        <v>255</v>
      </c>
    </row>
    <row r="33" spans="1:14">
      <c r="A33" s="216">
        <v>21</v>
      </c>
      <c r="B33" s="216">
        <v>842</v>
      </c>
      <c r="C33" s="221" t="s">
        <v>198</v>
      </c>
      <c r="D33" s="216">
        <v>0.84899999999999998</v>
      </c>
      <c r="E33" s="216" t="s">
        <v>247</v>
      </c>
      <c r="F33" s="216" t="s">
        <v>277</v>
      </c>
      <c r="G33" s="216" t="s">
        <v>251</v>
      </c>
      <c r="H33" s="216" t="s">
        <v>23</v>
      </c>
      <c r="I33" s="216">
        <f t="shared" si="0"/>
        <v>565</v>
      </c>
      <c r="J33" s="216">
        <f t="shared" si="1"/>
        <v>71</v>
      </c>
      <c r="K33" s="216">
        <f>IF(J33=0,0,ROUND(80.967/70.671,3))</f>
        <v>1.1459999999999999</v>
      </c>
      <c r="L33" s="216">
        <f t="shared" si="2"/>
        <v>1</v>
      </c>
      <c r="M33" s="216" t="s">
        <v>251</v>
      </c>
      <c r="N33" s="222" t="s">
        <v>252</v>
      </c>
    </row>
    <row r="34" spans="1:14">
      <c r="A34" s="216">
        <v>22</v>
      </c>
      <c r="B34" s="216">
        <v>435</v>
      </c>
      <c r="C34" s="221" t="s">
        <v>171</v>
      </c>
      <c r="D34" s="216">
        <v>0.36</v>
      </c>
      <c r="E34" s="216" t="s">
        <v>263</v>
      </c>
      <c r="F34" s="216" t="s">
        <v>261</v>
      </c>
      <c r="G34" s="216" t="s">
        <v>274</v>
      </c>
      <c r="H34" s="216" t="s">
        <v>25</v>
      </c>
      <c r="I34" s="216">
        <f t="shared" si="0"/>
        <v>1333</v>
      </c>
      <c r="J34" s="216">
        <f t="shared" si="1"/>
        <v>167</v>
      </c>
      <c r="K34" s="216">
        <f>IF(J34=0,0,ROUND(80.967/166.667,3))</f>
        <v>0.48599999999999999</v>
      </c>
      <c r="L34" s="216">
        <f t="shared" si="2"/>
        <v>0.5</v>
      </c>
      <c r="M34" s="216" t="s">
        <v>251</v>
      </c>
      <c r="N34" s="222" t="s">
        <v>252</v>
      </c>
    </row>
    <row r="35" spans="1:14">
      <c r="A35" s="216">
        <v>23</v>
      </c>
      <c r="B35" s="216">
        <v>5653</v>
      </c>
      <c r="C35" s="221" t="s">
        <v>172</v>
      </c>
      <c r="D35" s="223">
        <v>0.42399999999999999</v>
      </c>
      <c r="E35" s="216" t="s">
        <v>247</v>
      </c>
      <c r="F35" s="216" t="s">
        <v>272</v>
      </c>
      <c r="G35" s="216" t="s">
        <v>278</v>
      </c>
      <c r="H35" s="216" t="s">
        <v>250</v>
      </c>
      <c r="I35" s="216">
        <f t="shared" si="0"/>
        <v>1132</v>
      </c>
      <c r="J35" s="216">
        <f t="shared" si="1"/>
        <v>142</v>
      </c>
      <c r="K35" s="216">
        <f>IF(J35=0,0,ROUND(80.967/141.509,3))</f>
        <v>0.57199999999999995</v>
      </c>
      <c r="L35" s="216">
        <f t="shared" si="2"/>
        <v>0.5</v>
      </c>
      <c r="M35" s="216" t="s">
        <v>251</v>
      </c>
      <c r="N35" s="222" t="s">
        <v>252</v>
      </c>
    </row>
    <row r="36" spans="1:14">
      <c r="A36" s="216">
        <v>24</v>
      </c>
      <c r="B36" s="216">
        <v>1725</v>
      </c>
      <c r="C36" s="221" t="s">
        <v>173</v>
      </c>
      <c r="D36" s="216">
        <v>0.28299999999999997</v>
      </c>
      <c r="E36" s="216" t="s">
        <v>247</v>
      </c>
      <c r="F36" s="216" t="s">
        <v>279</v>
      </c>
      <c r="G36" s="216" t="s">
        <v>275</v>
      </c>
      <c r="H36" s="216" t="s">
        <v>276</v>
      </c>
      <c r="I36" s="216">
        <f t="shared" si="0"/>
        <v>1696</v>
      </c>
      <c r="J36" s="216">
        <f t="shared" si="1"/>
        <v>212</v>
      </c>
      <c r="K36" s="216">
        <f>IF(J36=0,0,ROUND(80.967/212.014,3))</f>
        <v>0.38200000000000001</v>
      </c>
      <c r="L36" s="216">
        <f t="shared" si="2"/>
        <v>0.5</v>
      </c>
      <c r="M36" s="216" t="s">
        <v>251</v>
      </c>
      <c r="N36" s="222" t="s">
        <v>252</v>
      </c>
    </row>
    <row r="37" spans="1:14">
      <c r="A37" s="216">
        <v>25</v>
      </c>
      <c r="B37" s="216">
        <v>14363</v>
      </c>
      <c r="C37" s="221" t="s">
        <v>280</v>
      </c>
      <c r="D37" s="223">
        <v>0.57199999999999995</v>
      </c>
      <c r="E37" s="216" t="s">
        <v>247</v>
      </c>
      <c r="F37" s="216" t="s">
        <v>272</v>
      </c>
      <c r="G37" s="216" t="s">
        <v>275</v>
      </c>
      <c r="H37" s="216" t="s">
        <v>276</v>
      </c>
      <c r="I37" s="216">
        <f t="shared" si="0"/>
        <v>839</v>
      </c>
      <c r="J37" s="216">
        <f t="shared" si="1"/>
        <v>105</v>
      </c>
      <c r="K37" s="216">
        <f>IF(J37=0,0,ROUND(80.967/104.895,3))</f>
        <v>0.77200000000000002</v>
      </c>
      <c r="L37" s="216">
        <f t="shared" si="2"/>
        <v>1</v>
      </c>
      <c r="M37" s="216" t="s">
        <v>251</v>
      </c>
      <c r="N37" s="222" t="s">
        <v>252</v>
      </c>
    </row>
    <row r="38" spans="1:14">
      <c r="A38" s="216">
        <v>26</v>
      </c>
      <c r="B38" s="216">
        <v>1687</v>
      </c>
      <c r="C38" s="217" t="s">
        <v>281</v>
      </c>
      <c r="D38" s="216">
        <v>0.57699999999999996</v>
      </c>
      <c r="E38" s="216" t="s">
        <v>247</v>
      </c>
      <c r="F38" s="216" t="s">
        <v>272</v>
      </c>
      <c r="G38" s="216" t="s">
        <v>251</v>
      </c>
      <c r="H38" s="216" t="s">
        <v>25</v>
      </c>
      <c r="I38" s="216">
        <f t="shared" si="0"/>
        <v>832</v>
      </c>
      <c r="J38" s="216">
        <f t="shared" si="1"/>
        <v>104</v>
      </c>
      <c r="K38" s="216">
        <f>IF(J38=0,0,ROUND(80.967/103.986,3))</f>
        <v>0.77900000000000003</v>
      </c>
      <c r="L38" s="216">
        <f t="shared" si="2"/>
        <v>1</v>
      </c>
      <c r="M38" s="216" t="s">
        <v>251</v>
      </c>
      <c r="N38" s="222" t="s">
        <v>252</v>
      </c>
    </row>
    <row r="39" spans="1:14">
      <c r="A39" s="216">
        <v>27</v>
      </c>
      <c r="B39" s="216">
        <v>2075</v>
      </c>
      <c r="C39" s="221" t="s">
        <v>183</v>
      </c>
      <c r="D39" s="216">
        <v>1.3460000000000001</v>
      </c>
      <c r="E39" s="216" t="s">
        <v>247</v>
      </c>
      <c r="F39" s="216" t="s">
        <v>272</v>
      </c>
      <c r="G39" s="216" t="s">
        <v>282</v>
      </c>
      <c r="H39" s="216" t="s">
        <v>250</v>
      </c>
      <c r="I39" s="216">
        <f t="shared" si="0"/>
        <v>357</v>
      </c>
      <c r="J39" s="216">
        <f t="shared" si="1"/>
        <v>45</v>
      </c>
      <c r="K39" s="216">
        <f>IF(J39=0,0,ROUND(80.967/44.577,3))</f>
        <v>1.8160000000000001</v>
      </c>
      <c r="L39" s="216">
        <f t="shared" si="2"/>
        <v>2</v>
      </c>
      <c r="M39" s="216" t="s">
        <v>251</v>
      </c>
      <c r="N39" s="222" t="s">
        <v>252</v>
      </c>
    </row>
    <row r="40" spans="1:14">
      <c r="A40" s="216">
        <v>28</v>
      </c>
      <c r="B40" s="216">
        <v>1310</v>
      </c>
      <c r="C40" s="221" t="s">
        <v>184</v>
      </c>
      <c r="D40" s="216">
        <v>0.746</v>
      </c>
      <c r="E40" s="216" t="s">
        <v>247</v>
      </c>
      <c r="F40" s="216" t="s">
        <v>272</v>
      </c>
      <c r="G40" s="216" t="s">
        <v>283</v>
      </c>
      <c r="H40" s="216" t="s">
        <v>276</v>
      </c>
      <c r="I40" s="216">
        <f t="shared" si="0"/>
        <v>643</v>
      </c>
      <c r="J40" s="216">
        <f t="shared" si="1"/>
        <v>80</v>
      </c>
      <c r="K40" s="216">
        <f>IF(J40=0,0,ROUND(80.967/80.429,3))</f>
        <v>1.0069999999999999</v>
      </c>
      <c r="L40" s="216">
        <f t="shared" si="2"/>
        <v>1</v>
      </c>
      <c r="M40" s="216" t="s">
        <v>251</v>
      </c>
      <c r="N40" s="222" t="s">
        <v>252</v>
      </c>
    </row>
    <row r="41" spans="1:14">
      <c r="A41" s="216">
        <v>29</v>
      </c>
      <c r="B41" s="216">
        <v>7219</v>
      </c>
      <c r="C41" s="221" t="s">
        <v>199</v>
      </c>
      <c r="D41" s="216">
        <v>0.68600000000000005</v>
      </c>
      <c r="E41" s="216" t="s">
        <v>247</v>
      </c>
      <c r="F41" s="216" t="s">
        <v>266</v>
      </c>
      <c r="G41" s="216" t="s">
        <v>274</v>
      </c>
      <c r="H41" s="216" t="s">
        <v>25</v>
      </c>
      <c r="I41" s="216">
        <f t="shared" si="0"/>
        <v>700</v>
      </c>
      <c r="J41" s="216">
        <f t="shared" si="1"/>
        <v>87</v>
      </c>
      <c r="K41" s="216">
        <f>IF(J41=0,0,ROUND(80.967/87.464,3))</f>
        <v>0.92600000000000005</v>
      </c>
      <c r="L41" s="216">
        <f t="shared" si="2"/>
        <v>1</v>
      </c>
      <c r="M41" s="216" t="s">
        <v>251</v>
      </c>
      <c r="N41" s="222" t="s">
        <v>252</v>
      </c>
    </row>
    <row r="42" spans="1:14">
      <c r="A42" s="216">
        <v>30</v>
      </c>
      <c r="B42" s="216">
        <v>838</v>
      </c>
      <c r="C42" s="221" t="s">
        <v>200</v>
      </c>
      <c r="D42" s="216">
        <v>0.84599999999999997</v>
      </c>
      <c r="E42" s="216" t="s">
        <v>247</v>
      </c>
      <c r="F42" s="216" t="s">
        <v>272</v>
      </c>
      <c r="G42" s="216" t="s">
        <v>284</v>
      </c>
      <c r="H42" s="216" t="s">
        <v>25</v>
      </c>
      <c r="I42" s="216">
        <f t="shared" si="0"/>
        <v>567</v>
      </c>
      <c r="J42" s="216">
        <f t="shared" si="1"/>
        <v>71</v>
      </c>
      <c r="K42" s="216">
        <f>IF(J42=0,0,ROUND(80.967/70.922,3))</f>
        <v>1.1419999999999999</v>
      </c>
      <c r="L42" s="216">
        <f t="shared" si="2"/>
        <v>1</v>
      </c>
      <c r="M42" s="216" t="s">
        <v>251</v>
      </c>
      <c r="N42" s="222" t="s">
        <v>252</v>
      </c>
    </row>
    <row r="43" spans="1:14">
      <c r="A43" s="216">
        <v>31</v>
      </c>
      <c r="B43" s="216">
        <v>1130</v>
      </c>
      <c r="C43" s="221" t="s">
        <v>201</v>
      </c>
      <c r="D43" s="216">
        <v>1.379</v>
      </c>
      <c r="E43" s="216" t="s">
        <v>263</v>
      </c>
      <c r="F43" s="216" t="s">
        <v>266</v>
      </c>
      <c r="G43" s="216" t="s">
        <v>285</v>
      </c>
      <c r="H43" s="216" t="s">
        <v>25</v>
      </c>
      <c r="I43" s="216">
        <f t="shared" si="0"/>
        <v>348</v>
      </c>
      <c r="J43" s="216">
        <f t="shared" si="1"/>
        <v>44</v>
      </c>
      <c r="K43" s="216">
        <f>IF(J43=0,0,ROUND(80.967/43.51,3))</f>
        <v>1.861</v>
      </c>
      <c r="L43" s="216">
        <f t="shared" si="2"/>
        <v>2</v>
      </c>
      <c r="M43" s="216" t="s">
        <v>251</v>
      </c>
      <c r="N43" s="222" t="s">
        <v>252</v>
      </c>
    </row>
    <row r="44" spans="1:14">
      <c r="A44" s="216">
        <v>32</v>
      </c>
      <c r="B44" s="216">
        <v>2332</v>
      </c>
      <c r="C44" s="221" t="s">
        <v>286</v>
      </c>
      <c r="D44" s="216">
        <v>0.35399999999999998</v>
      </c>
      <c r="E44" s="216" t="s">
        <v>247</v>
      </c>
      <c r="F44" s="216" t="s">
        <v>272</v>
      </c>
      <c r="G44" s="216" t="s">
        <v>251</v>
      </c>
      <c r="H44" s="216" t="s">
        <v>23</v>
      </c>
      <c r="I44" s="216">
        <f t="shared" si="0"/>
        <v>1356</v>
      </c>
      <c r="J44" s="216">
        <f t="shared" si="1"/>
        <v>169</v>
      </c>
      <c r="K44" s="216">
        <f>IF(J44=0,0,ROUND(80.967/169.492,3))</f>
        <v>0.47799999999999998</v>
      </c>
      <c r="L44" s="216">
        <f t="shared" si="2"/>
        <v>0.5</v>
      </c>
      <c r="M44" s="216" t="s">
        <v>251</v>
      </c>
      <c r="N44" s="222" t="s">
        <v>252</v>
      </c>
    </row>
    <row r="45" spans="1:14">
      <c r="A45" s="216">
        <v>33</v>
      </c>
      <c r="B45" s="216">
        <v>1497</v>
      </c>
      <c r="C45" s="221" t="s">
        <v>192</v>
      </c>
      <c r="D45" s="216">
        <v>0.21</v>
      </c>
      <c r="E45" s="216" t="s">
        <v>247</v>
      </c>
      <c r="F45" s="216" t="s">
        <v>272</v>
      </c>
      <c r="G45" s="216" t="s">
        <v>251</v>
      </c>
      <c r="H45" s="216" t="s">
        <v>23</v>
      </c>
      <c r="I45" s="216">
        <f t="shared" si="0"/>
        <v>2286</v>
      </c>
      <c r="J45" s="216">
        <f t="shared" si="1"/>
        <v>286</v>
      </c>
      <c r="K45" s="216">
        <f>IF(J45=0,0,ROUND(80.967/285.714,3))</f>
        <v>0.28299999999999997</v>
      </c>
      <c r="L45" s="216">
        <f t="shared" si="2"/>
        <v>0.5</v>
      </c>
      <c r="M45" s="216" t="s">
        <v>251</v>
      </c>
      <c r="N45" s="222" t="s">
        <v>252</v>
      </c>
    </row>
    <row r="46" spans="1:14">
      <c r="A46" s="216">
        <v>34</v>
      </c>
      <c r="B46" s="216">
        <v>825</v>
      </c>
      <c r="C46" s="221" t="s">
        <v>193</v>
      </c>
      <c r="D46" s="216">
        <v>0.32600000000000001</v>
      </c>
      <c r="E46" s="216" t="s">
        <v>247</v>
      </c>
      <c r="F46" s="216" t="s">
        <v>272</v>
      </c>
      <c r="G46" s="216" t="s">
        <v>251</v>
      </c>
      <c r="H46" s="216" t="s">
        <v>257</v>
      </c>
      <c r="I46" s="216">
        <f t="shared" si="0"/>
        <v>1472</v>
      </c>
      <c r="J46" s="216">
        <f t="shared" si="1"/>
        <v>184</v>
      </c>
      <c r="K46" s="216">
        <f>IF(J46=0,0,ROUND(80.967/184.049,3))</f>
        <v>0.44</v>
      </c>
      <c r="L46" s="216">
        <f t="shared" si="2"/>
        <v>0.5</v>
      </c>
      <c r="M46" s="216" t="s">
        <v>251</v>
      </c>
      <c r="N46" s="222" t="s">
        <v>255</v>
      </c>
    </row>
    <row r="47" spans="1:14">
      <c r="A47" s="216">
        <v>35</v>
      </c>
      <c r="B47" s="216">
        <v>301</v>
      </c>
      <c r="C47" s="221" t="s">
        <v>194</v>
      </c>
      <c r="D47" s="216">
        <v>0.86899999999999999</v>
      </c>
      <c r="E47" s="216" t="s">
        <v>247</v>
      </c>
      <c r="F47" s="216" t="s">
        <v>272</v>
      </c>
      <c r="G47" s="216" t="s">
        <v>287</v>
      </c>
      <c r="H47" s="216" t="s">
        <v>25</v>
      </c>
      <c r="I47" s="216">
        <f t="shared" si="0"/>
        <v>552</v>
      </c>
      <c r="J47" s="216">
        <f t="shared" si="1"/>
        <v>69</v>
      </c>
      <c r="K47" s="216">
        <f>IF(J47=0,0,ROUND(80.967/69.045,3))</f>
        <v>1.173</v>
      </c>
      <c r="L47" s="216">
        <f t="shared" si="2"/>
        <v>1</v>
      </c>
      <c r="M47" s="216" t="s">
        <v>251</v>
      </c>
      <c r="N47" s="222" t="s">
        <v>252</v>
      </c>
    </row>
    <row r="48" spans="1:14">
      <c r="A48" s="216">
        <v>36</v>
      </c>
      <c r="B48" s="216">
        <v>645</v>
      </c>
      <c r="C48" s="221" t="s">
        <v>195</v>
      </c>
      <c r="D48" s="216">
        <v>1.177</v>
      </c>
      <c r="E48" s="216" t="s">
        <v>247</v>
      </c>
      <c r="F48" s="216" t="s">
        <v>272</v>
      </c>
      <c r="G48" s="216" t="s">
        <v>288</v>
      </c>
      <c r="H48" s="216" t="s">
        <v>250</v>
      </c>
      <c r="I48" s="216">
        <f t="shared" si="0"/>
        <v>408</v>
      </c>
      <c r="J48" s="216">
        <f t="shared" si="1"/>
        <v>51</v>
      </c>
      <c r="K48" s="216">
        <f>IF(J48=0,0,ROUND(80.967/50.977,3))</f>
        <v>1.5880000000000001</v>
      </c>
      <c r="L48" s="216">
        <f t="shared" si="2"/>
        <v>1.5</v>
      </c>
      <c r="M48" s="216" t="s">
        <v>251</v>
      </c>
      <c r="N48" s="222" t="s">
        <v>252</v>
      </c>
    </row>
    <row r="49" spans="1:14">
      <c r="A49" s="216">
        <v>37</v>
      </c>
      <c r="B49" s="216">
        <v>4111</v>
      </c>
      <c r="C49" s="221" t="s">
        <v>202</v>
      </c>
      <c r="D49" s="216">
        <v>0.42399999999999999</v>
      </c>
      <c r="E49" s="216" t="s">
        <v>247</v>
      </c>
      <c r="F49" s="216" t="s">
        <v>272</v>
      </c>
      <c r="G49" s="216" t="s">
        <v>251</v>
      </c>
      <c r="H49" s="216" t="s">
        <v>257</v>
      </c>
      <c r="I49" s="216">
        <f t="shared" si="0"/>
        <v>1132</v>
      </c>
      <c r="J49" s="216">
        <f t="shared" si="1"/>
        <v>142</v>
      </c>
      <c r="K49" s="216">
        <f>IF(J49=0,0,ROUND(80.967/141.509,3))</f>
        <v>0.57199999999999995</v>
      </c>
      <c r="L49" s="216">
        <f t="shared" si="2"/>
        <v>0.5</v>
      </c>
      <c r="M49" s="216" t="s">
        <v>251</v>
      </c>
      <c r="N49" s="222" t="s">
        <v>255</v>
      </c>
    </row>
    <row r="50" spans="1:14">
      <c r="A50" s="216">
        <v>38</v>
      </c>
      <c r="B50" s="216">
        <v>822</v>
      </c>
      <c r="C50" s="221" t="s">
        <v>203</v>
      </c>
      <c r="D50" s="216">
        <v>0.67500000000000004</v>
      </c>
      <c r="E50" s="216" t="s">
        <v>247</v>
      </c>
      <c r="F50" s="216" t="s">
        <v>272</v>
      </c>
      <c r="G50" s="216" t="s">
        <v>289</v>
      </c>
      <c r="H50" s="216" t="s">
        <v>250</v>
      </c>
      <c r="I50" s="216">
        <f t="shared" si="0"/>
        <v>711</v>
      </c>
      <c r="J50" s="216">
        <f t="shared" si="1"/>
        <v>89</v>
      </c>
      <c r="K50" s="216">
        <f>IF(J50=0,0,ROUND(80.967/88.889,3))</f>
        <v>0.91100000000000003</v>
      </c>
      <c r="L50" s="216">
        <f t="shared" si="2"/>
        <v>1</v>
      </c>
      <c r="M50" s="216" t="s">
        <v>251</v>
      </c>
      <c r="N50" s="222" t="s">
        <v>252</v>
      </c>
    </row>
    <row r="51" spans="1:14">
      <c r="A51" s="216">
        <v>39</v>
      </c>
      <c r="B51" s="216">
        <v>89</v>
      </c>
      <c r="C51" s="221" t="s">
        <v>204</v>
      </c>
      <c r="D51" s="216">
        <v>0.54300000000000004</v>
      </c>
      <c r="E51" s="216" t="s">
        <v>247</v>
      </c>
      <c r="F51" s="216" t="s">
        <v>272</v>
      </c>
      <c r="G51" s="216" t="s">
        <v>253</v>
      </c>
      <c r="H51" s="216" t="s">
        <v>250</v>
      </c>
      <c r="I51" s="216">
        <f t="shared" si="0"/>
        <v>884</v>
      </c>
      <c r="J51" s="216">
        <f t="shared" si="1"/>
        <v>110</v>
      </c>
      <c r="K51" s="216">
        <f>IF(J51=0,0,ROUND(80.967/110.497,3))</f>
        <v>0.73299999999999998</v>
      </c>
      <c r="L51" s="216">
        <f t="shared" si="2"/>
        <v>0.5</v>
      </c>
      <c r="M51" s="216" t="s">
        <v>251</v>
      </c>
      <c r="N51" s="222" t="s">
        <v>252</v>
      </c>
    </row>
    <row r="52" spans="1:14">
      <c r="A52" s="216">
        <v>40</v>
      </c>
      <c r="B52" s="216">
        <v>90</v>
      </c>
      <c r="C52" s="217" t="s">
        <v>290</v>
      </c>
      <c r="D52" s="216">
        <v>0.28299999999999997</v>
      </c>
      <c r="E52" s="216" t="s">
        <v>247</v>
      </c>
      <c r="F52" s="216" t="s">
        <v>272</v>
      </c>
      <c r="G52" s="216" t="s">
        <v>253</v>
      </c>
      <c r="H52" s="216" t="s">
        <v>250</v>
      </c>
      <c r="I52" s="216">
        <f t="shared" si="0"/>
        <v>1696</v>
      </c>
      <c r="J52" s="216">
        <f t="shared" si="1"/>
        <v>212</v>
      </c>
      <c r="K52" s="216">
        <f>IF(J52=0,0,ROUND(80.967/212.014,3))</f>
        <v>0.38200000000000001</v>
      </c>
      <c r="L52" s="216">
        <f t="shared" si="2"/>
        <v>0.5</v>
      </c>
      <c r="M52" s="216" t="s">
        <v>251</v>
      </c>
      <c r="N52" s="222" t="s">
        <v>252</v>
      </c>
    </row>
    <row r="53" spans="1:14">
      <c r="A53" s="216">
        <v>41</v>
      </c>
      <c r="B53" s="216">
        <v>12143</v>
      </c>
      <c r="C53" s="217" t="s">
        <v>291</v>
      </c>
      <c r="D53" s="216">
        <v>0.72</v>
      </c>
      <c r="E53" s="216" t="s">
        <v>247</v>
      </c>
      <c r="F53" s="216" t="s">
        <v>261</v>
      </c>
      <c r="G53" s="216" t="s">
        <v>251</v>
      </c>
      <c r="H53" s="216" t="s">
        <v>292</v>
      </c>
      <c r="I53" s="216">
        <f t="shared" si="0"/>
        <v>667</v>
      </c>
      <c r="J53" s="216">
        <f t="shared" si="1"/>
        <v>83</v>
      </c>
      <c r="K53" s="216">
        <f>IF(J53=0,0,ROUND(80.967/83.333,3))</f>
        <v>0.97199999999999998</v>
      </c>
      <c r="L53" s="216">
        <f t="shared" si="2"/>
        <v>1</v>
      </c>
      <c r="M53" s="216" t="s">
        <v>251</v>
      </c>
      <c r="N53" s="222" t="s">
        <v>252</v>
      </c>
    </row>
    <row r="54" spans="1:14">
      <c r="A54" s="216">
        <v>42</v>
      </c>
      <c r="B54" s="216">
        <v>12144</v>
      </c>
      <c r="C54" s="217" t="s">
        <v>293</v>
      </c>
      <c r="D54" s="216">
        <v>0.72</v>
      </c>
      <c r="E54" s="216" t="s">
        <v>247</v>
      </c>
      <c r="F54" s="216" t="s">
        <v>261</v>
      </c>
      <c r="G54" s="216" t="s">
        <v>251</v>
      </c>
      <c r="H54" s="216" t="s">
        <v>294</v>
      </c>
      <c r="I54" s="216">
        <f t="shared" si="0"/>
        <v>667</v>
      </c>
      <c r="J54" s="216">
        <f t="shared" si="1"/>
        <v>83</v>
      </c>
      <c r="K54" s="216">
        <f>IF(J54=0,0,ROUND(80.967/83.333,3))</f>
        <v>0.97199999999999998</v>
      </c>
      <c r="L54" s="216">
        <f t="shared" si="2"/>
        <v>1</v>
      </c>
      <c r="M54" s="216" t="s">
        <v>251</v>
      </c>
      <c r="N54" s="222" t="s">
        <v>252</v>
      </c>
    </row>
    <row r="55" spans="1:14">
      <c r="A55" s="216">
        <v>43</v>
      </c>
      <c r="B55" s="216">
        <v>13587</v>
      </c>
      <c r="C55" s="217" t="s">
        <v>295</v>
      </c>
      <c r="D55" s="216">
        <v>0.53700000000000003</v>
      </c>
      <c r="E55" s="216" t="s">
        <v>247</v>
      </c>
      <c r="F55" s="216" t="s">
        <v>261</v>
      </c>
      <c r="G55" s="216" t="s">
        <v>251</v>
      </c>
      <c r="H55" s="216" t="s">
        <v>296</v>
      </c>
      <c r="I55" s="216">
        <f t="shared" si="0"/>
        <v>894</v>
      </c>
      <c r="J55" s="216">
        <f t="shared" si="1"/>
        <v>112</v>
      </c>
      <c r="K55" s="216">
        <f>IF(J55=0,0,ROUND(80.967/111.732,3))</f>
        <v>0.72499999999999998</v>
      </c>
      <c r="L55" s="216">
        <f t="shared" si="2"/>
        <v>0.5</v>
      </c>
      <c r="M55" s="216" t="s">
        <v>251</v>
      </c>
      <c r="N55" s="222" t="s">
        <v>252</v>
      </c>
    </row>
    <row r="56" spans="1:14">
      <c r="A56" s="216"/>
      <c r="B56" s="216"/>
      <c r="C56" s="217" t="s">
        <v>297</v>
      </c>
      <c r="D56" s="216">
        <v>25.32</v>
      </c>
      <c r="E56" s="216"/>
      <c r="F56" s="216"/>
      <c r="G56" s="216"/>
      <c r="H56" s="216"/>
      <c r="I56" s="216"/>
      <c r="J56" s="216"/>
      <c r="K56" s="216"/>
      <c r="L56" s="216"/>
      <c r="M56" s="216"/>
      <c r="N56" s="222"/>
    </row>
    <row r="57" spans="1:14">
      <c r="A57" s="342" t="s">
        <v>298</v>
      </c>
      <c r="B57" s="342"/>
      <c r="C57" s="342"/>
      <c r="D57" s="342"/>
      <c r="E57" s="342"/>
      <c r="F57" s="342"/>
      <c r="G57" s="216"/>
      <c r="H57" s="216"/>
      <c r="I57" s="216"/>
      <c r="J57" s="342" t="s">
        <v>299</v>
      </c>
      <c r="K57" s="342"/>
      <c r="L57" s="342"/>
      <c r="M57" s="342"/>
      <c r="N57" s="222"/>
    </row>
    <row r="58" spans="1:14">
      <c r="A58" s="216" t="s">
        <v>252</v>
      </c>
      <c r="B58" s="216" t="s">
        <v>241</v>
      </c>
      <c r="C58" s="217" t="s">
        <v>223</v>
      </c>
      <c r="D58" s="216" t="s">
        <v>300</v>
      </c>
      <c r="E58" s="216" t="s">
        <v>301</v>
      </c>
      <c r="F58" s="216" t="s">
        <v>302</v>
      </c>
      <c r="G58" s="216"/>
      <c r="H58" s="216"/>
      <c r="I58" s="216"/>
      <c r="J58" s="216" t="s">
        <v>303</v>
      </c>
      <c r="K58" s="216" t="s">
        <v>304</v>
      </c>
      <c r="L58" s="216" t="s">
        <v>305</v>
      </c>
      <c r="M58" s="216" t="s">
        <v>306</v>
      </c>
      <c r="N58" s="222"/>
    </row>
    <row r="59" spans="1:14">
      <c r="A59" s="216">
        <v>1</v>
      </c>
      <c r="B59" s="216" t="s">
        <v>250</v>
      </c>
      <c r="C59" s="217">
        <v>6.2990000000000004</v>
      </c>
      <c r="D59" s="216" t="s">
        <v>307</v>
      </c>
      <c r="E59" s="216">
        <f>SUMIFS(K13:K55,H13:H55,"SNLS UBT")</f>
        <v>8.5010000000000012</v>
      </c>
      <c r="F59" s="216">
        <f>SUMIFS(L13:L55,H13:H55,"SNLS UBT")</f>
        <v>9</v>
      </c>
      <c r="G59" s="216"/>
      <c r="H59" s="216"/>
      <c r="I59" s="216"/>
      <c r="J59" s="216" t="s">
        <v>308</v>
      </c>
      <c r="K59" s="216">
        <v>75</v>
      </c>
      <c r="L59" s="216">
        <v>605</v>
      </c>
      <c r="M59" s="216">
        <v>75</v>
      </c>
      <c r="N59" s="222"/>
    </row>
    <row r="60" spans="1:14">
      <c r="A60" s="216">
        <v>2</v>
      </c>
      <c r="B60" s="216" t="s">
        <v>23</v>
      </c>
      <c r="C60" s="217">
        <v>2.1230000000000002</v>
      </c>
      <c r="D60" s="216" t="s">
        <v>309</v>
      </c>
      <c r="E60" s="216">
        <f>SUMIFS(K13:K55,H13:H55,"SNEC")</f>
        <v>2.8649999999999998</v>
      </c>
      <c r="F60" s="216">
        <f>SUMIFS(L13:L55,H13:H55,"SNEC")</f>
        <v>3</v>
      </c>
      <c r="G60" s="216"/>
      <c r="H60" s="216"/>
      <c r="I60" s="216"/>
      <c r="J60" s="216" t="s">
        <v>310</v>
      </c>
      <c r="K60" s="216">
        <v>71</v>
      </c>
      <c r="L60" s="216">
        <v>575</v>
      </c>
      <c r="M60" s="216">
        <v>71</v>
      </c>
      <c r="N60" s="222"/>
    </row>
    <row r="61" spans="1:14">
      <c r="A61" s="216">
        <v>3</v>
      </c>
      <c r="B61" s="216" t="s">
        <v>254</v>
      </c>
      <c r="C61" s="217">
        <v>1.857</v>
      </c>
      <c r="D61" s="216" t="s">
        <v>257</v>
      </c>
      <c r="E61" s="216">
        <f>SUMIFS(K13:K55,H13:H55,"Press")</f>
        <v>2.5060000000000002</v>
      </c>
      <c r="F61" s="216">
        <f>SUMIFS(L13:L55,H13:H55,"Press")</f>
        <v>2.5</v>
      </c>
      <c r="G61" s="216"/>
      <c r="H61" s="216"/>
      <c r="I61" s="216"/>
      <c r="J61" s="216" t="s">
        <v>311</v>
      </c>
      <c r="K61" s="216">
        <v>68</v>
      </c>
      <c r="L61" s="216">
        <v>544</v>
      </c>
      <c r="M61" s="216">
        <v>68</v>
      </c>
      <c r="N61" s="222"/>
    </row>
    <row r="62" spans="1:14">
      <c r="A62" s="216">
        <v>4</v>
      </c>
      <c r="B62" s="216" t="s">
        <v>257</v>
      </c>
      <c r="C62" s="217">
        <v>4.1959999999999997</v>
      </c>
      <c r="D62" s="216" t="s">
        <v>257</v>
      </c>
      <c r="E62" s="216">
        <f>SUMIFS(K13:K55,H13:H55,"Manual")</f>
        <v>5.6620000000000008</v>
      </c>
      <c r="F62" s="216">
        <f>SUMIFS(L13:L55,H13:H55,"Manual")</f>
        <v>6</v>
      </c>
      <c r="G62" s="216"/>
      <c r="H62" s="216"/>
      <c r="I62" s="216"/>
      <c r="J62" s="216" t="s">
        <v>312</v>
      </c>
      <c r="K62" s="216">
        <v>64</v>
      </c>
      <c r="L62" s="216">
        <v>514</v>
      </c>
      <c r="M62" s="216">
        <v>64</v>
      </c>
      <c r="N62" s="222"/>
    </row>
    <row r="63" spans="1:14">
      <c r="A63" s="216">
        <v>5</v>
      </c>
      <c r="B63" s="216" t="s">
        <v>25</v>
      </c>
      <c r="C63" s="217">
        <v>6.7869999999999999</v>
      </c>
      <c r="D63" s="216" t="s">
        <v>307</v>
      </c>
      <c r="E63" s="216">
        <f>SUMIFS(K13:K55,H13:H55,"SNLS")</f>
        <v>9.1609999999999978</v>
      </c>
      <c r="F63" s="216">
        <f>SUMIFS(L13:L55,H13:H55,"SNLS")</f>
        <v>9</v>
      </c>
      <c r="G63" s="216"/>
      <c r="H63" s="216"/>
      <c r="I63" s="216"/>
      <c r="J63" s="216" t="s">
        <v>313</v>
      </c>
      <c r="K63" s="216">
        <v>60</v>
      </c>
      <c r="L63" s="216">
        <v>484</v>
      </c>
      <c r="M63" s="216">
        <v>60</v>
      </c>
      <c r="N63" s="222"/>
    </row>
    <row r="64" spans="1:14">
      <c r="A64" s="216">
        <v>6</v>
      </c>
      <c r="B64" s="216" t="s">
        <v>276</v>
      </c>
      <c r="C64" s="217">
        <v>2.081</v>
      </c>
      <c r="D64" s="216" t="s">
        <v>307</v>
      </c>
      <c r="E64" s="216">
        <f>SUMIFS(K13:K55,H13:H55,"5Th O/L	")</f>
        <v>2.8090000000000002</v>
      </c>
      <c r="F64" s="216">
        <f>SUMIFS(L13:L55,H13:H55,"5Th O/L	")</f>
        <v>3</v>
      </c>
      <c r="G64" s="216"/>
      <c r="H64" s="216"/>
      <c r="I64" s="216"/>
      <c r="J64" s="216" t="s">
        <v>314</v>
      </c>
      <c r="K64" s="216">
        <v>56</v>
      </c>
      <c r="L64" s="216">
        <v>454</v>
      </c>
      <c r="M64" s="216">
        <v>56</v>
      </c>
      <c r="N64" s="222"/>
    </row>
    <row r="65" spans="1:14">
      <c r="A65" s="216">
        <v>7</v>
      </c>
      <c r="B65" s="216" t="s">
        <v>292</v>
      </c>
      <c r="C65" s="217">
        <v>0.72</v>
      </c>
      <c r="D65" s="216" t="s">
        <v>315</v>
      </c>
      <c r="E65" s="216">
        <f>SUMIFS(K13:K55,H13:H55,"BUTTON ATTACH")</f>
        <v>0.97199999999999998</v>
      </c>
      <c r="F65" s="216">
        <f>SUMIFS(L13:L55,H13:H55,"BUTTON ATTACH")</f>
        <v>1</v>
      </c>
      <c r="G65" s="216"/>
      <c r="H65" s="216"/>
      <c r="I65" s="216"/>
      <c r="J65" s="216" t="s">
        <v>316</v>
      </c>
      <c r="K65" s="216">
        <v>53</v>
      </c>
      <c r="L65" s="216">
        <v>424</v>
      </c>
      <c r="M65" s="216">
        <v>53</v>
      </c>
      <c r="N65" s="222"/>
    </row>
    <row r="66" spans="1:14">
      <c r="A66" s="216">
        <v>8</v>
      </c>
      <c r="B66" s="216" t="s">
        <v>294</v>
      </c>
      <c r="C66" s="217">
        <v>0.72</v>
      </c>
      <c r="D66" s="216" t="s">
        <v>315</v>
      </c>
      <c r="E66" s="216">
        <f>SUMIFS(K13:K55,H13:H55,"BUTTON HOLE")</f>
        <v>0.97199999999999998</v>
      </c>
      <c r="F66" s="216">
        <f>SUMIFS(L13:L55,H13:H55,"BUTTON HOLE")</f>
        <v>1</v>
      </c>
      <c r="G66" s="216"/>
      <c r="H66" s="216"/>
      <c r="I66" s="216"/>
      <c r="J66" s="216" t="s">
        <v>317</v>
      </c>
      <c r="K66" s="216">
        <v>49</v>
      </c>
      <c r="L66" s="216">
        <v>393</v>
      </c>
      <c r="M66" s="216">
        <v>49</v>
      </c>
      <c r="N66" s="222"/>
    </row>
    <row r="67" spans="1:14">
      <c r="A67" s="216">
        <v>9</v>
      </c>
      <c r="B67" s="216" t="s">
        <v>296</v>
      </c>
      <c r="C67" s="217">
        <v>0.53700000000000003</v>
      </c>
      <c r="D67" s="216" t="s">
        <v>309</v>
      </c>
      <c r="E67" s="216">
        <f>SUMIFS(K13:K55,H13:H55,"Shanking")</f>
        <v>0.72499999999999998</v>
      </c>
      <c r="F67" s="216">
        <f>SUMIFS(L13:L55,H13:H55,"Shanking")</f>
        <v>0.5</v>
      </c>
      <c r="G67" s="216"/>
      <c r="H67" s="216"/>
      <c r="I67" s="216"/>
      <c r="J67" s="216"/>
      <c r="K67" s="216"/>
      <c r="L67" s="216"/>
      <c r="M67" s="216"/>
      <c r="N67" s="222"/>
    </row>
    <row r="70" spans="1:14">
      <c r="A70" s="339" t="s">
        <v>318</v>
      </c>
      <c r="B70" s="339"/>
      <c r="C70" s="339"/>
      <c r="D70" s="339"/>
      <c r="E70" s="339"/>
      <c r="F70" s="339"/>
      <c r="G70" s="339"/>
    </row>
  </sheetData>
  <mergeCells count="46">
    <mergeCell ref="A70:G70"/>
    <mergeCell ref="E11:G11"/>
    <mergeCell ref="H11:I11"/>
    <mergeCell ref="J11:L11"/>
    <mergeCell ref="M11:N11"/>
    <mergeCell ref="A57:F57"/>
    <mergeCell ref="J57:M57"/>
    <mergeCell ref="C10:D10"/>
    <mergeCell ref="H10:I10"/>
    <mergeCell ref="J10:L10"/>
    <mergeCell ref="M10:N10"/>
    <mergeCell ref="A8:B8"/>
    <mergeCell ref="C8:D8"/>
    <mergeCell ref="E8:G8"/>
    <mergeCell ref="H8:I8"/>
    <mergeCell ref="J8:L8"/>
    <mergeCell ref="M8:N8"/>
    <mergeCell ref="C9:D9"/>
    <mergeCell ref="E9:G9"/>
    <mergeCell ref="H9:I9"/>
    <mergeCell ref="J9:L9"/>
    <mergeCell ref="M9:N9"/>
    <mergeCell ref="M7:N7"/>
    <mergeCell ref="A6:B6"/>
    <mergeCell ref="C6:D6"/>
    <mergeCell ref="E6:G6"/>
    <mergeCell ref="H6:I6"/>
    <mergeCell ref="J6:L6"/>
    <mergeCell ref="M6:N6"/>
    <mergeCell ref="A7:B7"/>
    <mergeCell ref="C7:D7"/>
    <mergeCell ref="E7:G7"/>
    <mergeCell ref="H7:I7"/>
    <mergeCell ref="J7:L7"/>
    <mergeCell ref="M5:N5"/>
    <mergeCell ref="A1:N1"/>
    <mergeCell ref="A2:G3"/>
    <mergeCell ref="H2:N3"/>
    <mergeCell ref="A4:D4"/>
    <mergeCell ref="E4:I4"/>
    <mergeCell ref="J4:N4"/>
    <mergeCell ref="A5:B5"/>
    <mergeCell ref="C5:D5"/>
    <mergeCell ref="E5:G5"/>
    <mergeCell ref="H5:I5"/>
    <mergeCell ref="J5:L5"/>
  </mergeCells>
  <dataValidations count="1">
    <dataValidation type="list" allowBlank="1" showInputMessage="1" showErrorMessage="1" sqref="H11">
      <formula1>"Only Operator, Both Helper and Operator"</formula1>
    </dataValidation>
  </dataValidations>
  <pageMargins left="0.17" right="0.49" top="0.17" bottom="0.16" header="0.18" footer="0.16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785101</vt:lpstr>
      <vt:lpstr>CRITICAL</vt:lpstr>
      <vt:lpstr>NSR</vt:lpstr>
      <vt:lpstr>ob</vt:lpstr>
      <vt:lpstr>'785101'!Print_Area</vt:lpstr>
      <vt:lpstr>CRITICAL!Print_Area</vt:lpstr>
      <vt:lpstr>NSR!Print_Area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105GF.IE</dc:creator>
  <cp:lastModifiedBy>105GF.IE</cp:lastModifiedBy>
  <cp:lastPrinted>2026-05-14T09:16:51Z</cp:lastPrinted>
  <dcterms:created xsi:type="dcterms:W3CDTF">2025-05-10T09:07:43Z</dcterms:created>
  <dcterms:modified xsi:type="dcterms:W3CDTF">2026-05-16T12:16:00Z</dcterms:modified>
</cp:coreProperties>
</file>