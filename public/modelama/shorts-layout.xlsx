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735" firstSheet="1" activeTab="1"/>
  </bookViews>
  <sheets>
    <sheet name="7800" sheetId="1" state="hidden" r:id="rId1"/>
    <sheet name="1893" sheetId="2" r:id="rId2"/>
  </sheets>
  <definedNames>
    <definedName name="_xlnm.Print_Area" localSheetId="1">'1893'!$A$1:$G$127</definedName>
    <definedName name="_xlnm.Print_Area" localSheetId="0">'7800'!$A$1:$G$133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/>
  <c r="G126" l="1"/>
  <c r="G132" i="1" l="1"/>
  <c r="G5"/>
</calcChain>
</file>

<file path=xl/sharedStrings.xml><?xml version="1.0" encoding="utf-8"?>
<sst xmlns="http://schemas.openxmlformats.org/spreadsheetml/2006/main" count="356" uniqueCount="185">
  <si>
    <t>MACHINE LAYOUT</t>
  </si>
  <si>
    <t>DESCRIPTION</t>
  </si>
  <si>
    <t>DRESS</t>
  </si>
  <si>
    <t>LINE NO.</t>
  </si>
  <si>
    <t>MACHINE</t>
  </si>
  <si>
    <t>Style No.</t>
  </si>
  <si>
    <t>MACHINE SMV</t>
  </si>
  <si>
    <t>Buyer</t>
  </si>
  <si>
    <t>AEO</t>
  </si>
  <si>
    <t>No of Work Stations:-</t>
  </si>
  <si>
    <t>Quantity</t>
  </si>
  <si>
    <t>FINAL INSPECTION TABLE</t>
  </si>
  <si>
    <t>Target 8 Hrs @ 100%</t>
  </si>
  <si>
    <t>OPERATION</t>
  </si>
  <si>
    <t>CODE NO.</t>
  </si>
  <si>
    <t>TYPE OF M/C</t>
  </si>
  <si>
    <t>TABLE</t>
  </si>
  <si>
    <t>SN</t>
  </si>
  <si>
    <t>SHOULDER STRAP INSERT ADJUSTER *2</t>
  </si>
  <si>
    <t>HD</t>
  </si>
  <si>
    <t>MAIN LABLE MARK MAKE &amp; ATTACH</t>
  </si>
  <si>
    <t>WAIST ELASTIC ATTACH ALL ROUND</t>
  </si>
  <si>
    <t>OL-3</t>
  </si>
  <si>
    <t>WAIST OVERLOCK</t>
  </si>
  <si>
    <t>SNEC</t>
  </si>
  <si>
    <t>OL-5</t>
  </si>
  <si>
    <t>IRON</t>
  </si>
  <si>
    <t>NECK SMOKING PNL O/L &amp; ELASTIC MEASUR CUT</t>
  </si>
  <si>
    <t>OL-4</t>
  </si>
  <si>
    <t>BACK SMOKING PNL STAY STICH</t>
  </si>
  <si>
    <t>BOTTOM PNL WAIST LINE OVERLOCK</t>
  </si>
  <si>
    <t>BOTTOM PNL SHELL TACK WITH UPER PNL*5</t>
  </si>
  <si>
    <t>BOTTOM PNL JOIN BY OVER LOCK *5</t>
  </si>
  <si>
    <t>FRONT BACK MID PNL ATTACH</t>
  </si>
  <si>
    <t>F/BACK MARK MID PNL GATHER</t>
  </si>
  <si>
    <t>FRONT MID PNL SIDE &amp; BACK C/SEAM PIN STICH</t>
  </si>
  <si>
    <t>LOADING TABLE</t>
  </si>
  <si>
    <t>SUMMARY</t>
  </si>
  <si>
    <t>CRITICAL OPERATION</t>
  </si>
  <si>
    <t>DNLS- 00</t>
  </si>
  <si>
    <t>QUALITY CHECK POINT</t>
  </si>
  <si>
    <t>CHECK POINT- 02</t>
  </si>
  <si>
    <t>1  U Flow                -</t>
  </si>
  <si>
    <t>1   Initial Layout                -</t>
  </si>
  <si>
    <t>SNEC - 01</t>
  </si>
  <si>
    <t>O/L-3     02</t>
  </si>
  <si>
    <t>2  Zig Zag               -</t>
  </si>
  <si>
    <t>2   Final Layout                 -</t>
  </si>
  <si>
    <t>INDUSTRIAL ENGG.</t>
  </si>
  <si>
    <t>MR. AKIL KHAN</t>
  </si>
  <si>
    <t>FRONT MID PNL SIDE &amp; BACK C/SEAM O/L</t>
  </si>
  <si>
    <t>PAIR FRONT &amp; BACK MID PANAL</t>
  </si>
  <si>
    <t>FRONT &amp; BACK MID PNL OVERLOCK</t>
  </si>
  <si>
    <t>BACK LINING PNL SIDE SEAM  OL</t>
  </si>
  <si>
    <t>LINE NO -2</t>
  </si>
  <si>
    <t>FRONT  LINING PNL SIDE SEAM  OL</t>
  </si>
  <si>
    <t>FRONT  LINING PNL SIDE SEAM  PIN STICH</t>
  </si>
  <si>
    <t>PAIR LOWER BODY SHELL PNL &amp; MARK RE-CUT</t>
  </si>
  <si>
    <t>FRONT SHEEL SIDE &amp; LINING ATTACH</t>
  </si>
  <si>
    <t>POCKET FACING ATTACH*2</t>
  </si>
  <si>
    <t>POCKET  BAG ALL OVER CLOSE*2</t>
  </si>
  <si>
    <t>POCKET FACING @ CREASE</t>
  </si>
  <si>
    <t>MARK FOR POCKET SIDE</t>
  </si>
  <si>
    <t>POCKET ATTACH*2</t>
  </si>
  <si>
    <t>POCKET MOUTH OVERLOCK*2</t>
  </si>
  <si>
    <t>POCKET MOUTH TOP STICH*2</t>
  </si>
  <si>
    <t>POCKET BAG TACK @ SIDE*2</t>
  </si>
  <si>
    <t>MARK &amp; MATCH SHELL &amp; LINING</t>
  </si>
  <si>
    <t>BACK LINNING ATT.@ SIDE SEAM</t>
  </si>
  <si>
    <t>SIDE SEAM ATTACH*2</t>
  </si>
  <si>
    <t>LINING SIDE SEAM OVERLOCK</t>
  </si>
  <si>
    <t>SHELL SIDE SEAM  OVERLOCK</t>
  </si>
  <si>
    <t>ATT.BACK SHELL&amp; LINING&amp; SHELL PIN STICH SIDE /S</t>
  </si>
  <si>
    <t>BOTTOM PNL PIN STICH*5</t>
  </si>
  <si>
    <t>BOTTOM PNL MAKE @ GATHER</t>
  </si>
  <si>
    <t>PAIR BTM PNL WITH UPER PNL &amp; L /BODY SHELL</t>
  </si>
  <si>
    <t>BOTTOM PANAL ATTACH</t>
  </si>
  <si>
    <t>MID CHECK POINT</t>
  </si>
  <si>
    <t>SMOKING PNL F/BACKRUN STICH</t>
  </si>
  <si>
    <t>SMOKING PNL F/BACK MARK&amp; RE-CUT &amp; W/NO.</t>
  </si>
  <si>
    <t>F/SMOKING PNL STY STICH AFTER RE-CUT</t>
  </si>
  <si>
    <t>NECK ELASTIC TACK*2 BACK FRONT</t>
  </si>
  <si>
    <t>FRONT BACK NECK ELASTIC ATTACH</t>
  </si>
  <si>
    <t>BACK SMOKING SIDE SEAM ATTACH</t>
  </si>
  <si>
    <t>BODY SMOKING SIDE SEAM OVERLOCK</t>
  </si>
  <si>
    <t>PIPING JOIN WITH TRIM</t>
  </si>
  <si>
    <t>BOTTOM EXTRA MARGIN @ TRIM</t>
  </si>
  <si>
    <t>SHOULDER STRAP BIND MEASUR &amp; CUT</t>
  </si>
  <si>
    <t>FINAL PCS @ PRESSING</t>
  </si>
  <si>
    <t>FRONT BACK SMOKING @ PRESS</t>
  </si>
  <si>
    <t>PAIR UPER BODY &amp; LOWER PNL MATCH</t>
  </si>
  <si>
    <t xml:space="preserve"> UPER BODY &amp; LOWER PNL TACK*4</t>
  </si>
  <si>
    <t>ELASTIC &amp; SHOULDER STRAP @ PRESS</t>
  </si>
  <si>
    <t xml:space="preserve"> UPER BODY &amp; LOWER PNL ATTTACH</t>
  </si>
  <si>
    <t>F/SHOULDER STRAP MARK &amp; TACK*2</t>
  </si>
  <si>
    <t>WAIST ELASTIC MARK MEASUR CUTWITH TACK*4</t>
  </si>
  <si>
    <t>BACK LOOP INSERT RING &amp; TACK WITH FINISH*2</t>
  </si>
  <si>
    <t>SHULDER STRAP TACK*2</t>
  </si>
  <si>
    <t>BOTTOM HEM SHELL</t>
  </si>
  <si>
    <t>LINING BOTTOM HEM</t>
  </si>
  <si>
    <t xml:space="preserve">FINAL TABLE </t>
  </si>
  <si>
    <t>SN - 41</t>
  </si>
  <si>
    <t>TOTAL- 72</t>
  </si>
  <si>
    <t>O/L5 -12</t>
  </si>
  <si>
    <t>IRON - 05</t>
  </si>
  <si>
    <t>HD- 07</t>
  </si>
  <si>
    <t>O/L 4-  02</t>
  </si>
  <si>
    <t>#7800</t>
  </si>
  <si>
    <t>P.M.</t>
  </si>
  <si>
    <t>Target 8 Hrs @ 60%</t>
  </si>
  <si>
    <t>WAIST ELASTIC ATTACH</t>
  </si>
  <si>
    <t>FINAL CHECK POINT</t>
  </si>
  <si>
    <t>MR.ANIL</t>
  </si>
  <si>
    <t>INC</t>
  </si>
  <si>
    <t>DNLS- 0</t>
  </si>
  <si>
    <t>CHECK POINT- 2</t>
  </si>
  <si>
    <t>TOTAL- 62</t>
  </si>
  <si>
    <t>FRONT SIDE MARK SHELL</t>
  </si>
  <si>
    <t>FRONT BOTTOM HEM LINING</t>
  </si>
  <si>
    <t>FRONT SHELL &amp; LINING ATTACH ALL AROUND</t>
  </si>
  <si>
    <t>POCKET FACING CREASE</t>
  </si>
  <si>
    <t>POCKET MOUTH FUSING ATTACH</t>
  </si>
  <si>
    <t>POCKET FACING ATTACH</t>
  </si>
  <si>
    <t>POCKET BAG MAKE</t>
  </si>
  <si>
    <t>POCKET BAG FRENCH SEAM</t>
  </si>
  <si>
    <t>POCKET BAG TURN</t>
  </si>
  <si>
    <t>POCKET BAG PAIR</t>
  </si>
  <si>
    <t>POCKET BAG ATTACH</t>
  </si>
  <si>
    <t>QR CODE SCAN &amp; TACK</t>
  </si>
  <si>
    <t>POCKET MARK FOR TACK</t>
  </si>
  <si>
    <t>POCKET MOUTH TOPSTITCH 1 SIDE</t>
  </si>
  <si>
    <t>POCKET MOUTH TOPSTITCH 2 SIDE</t>
  </si>
  <si>
    <t>POCKET TACK SIDE</t>
  </si>
  <si>
    <t>UPPER FLY BINDING ATTACH</t>
  </si>
  <si>
    <t>INNER FLY MAKE</t>
  </si>
  <si>
    <t>FRONT RISE SERGE</t>
  </si>
  <si>
    <t>O/L3</t>
  </si>
  <si>
    <t>PAIR UPPER &amp; LOWER FLY</t>
  </si>
  <si>
    <t>UPPER FLY ATTACH</t>
  </si>
  <si>
    <t>WAIST BAND CREASE &amp; ELASTIC PRESS</t>
  </si>
  <si>
    <t>POCKET MOUTH PRESS</t>
  </si>
  <si>
    <t>UPPER FLY BAXCK EDGE STITCH</t>
  </si>
  <si>
    <t>ZIPPER ATTACH AT UPPER FLY</t>
  </si>
  <si>
    <t>ZIPPER ATTACH UPPER FLY</t>
  </si>
  <si>
    <t>INNER FLY ATTACH</t>
  </si>
  <si>
    <t>UPPER FLY ATTACH &amp; 2ND TIME ATTACH</t>
  </si>
  <si>
    <t>FRONT RISE JOIN</t>
  </si>
  <si>
    <t>MARK &amp; SEW J STITCH</t>
  </si>
  <si>
    <t>POCKET MOUTH MARK FOR BALNCE</t>
  </si>
  <si>
    <t>BACK SHELL &amp; LINING ATTACH</t>
  </si>
  <si>
    <t>PAIR FRONT &amp; BACK</t>
  </si>
  <si>
    <t>BACK RISE JOIN</t>
  </si>
  <si>
    <t xml:space="preserve">SIDE SEAM TACK </t>
  </si>
  <si>
    <t>BOTTOM HEM LINING</t>
  </si>
  <si>
    <t>SIDE SEAM O/L</t>
  </si>
  <si>
    <t>O/L5</t>
  </si>
  <si>
    <t>CHECK POINT</t>
  </si>
  <si>
    <t>INSEAM JOIN</t>
  </si>
  <si>
    <t>INSEAM O/L</t>
  </si>
  <si>
    <t>INSEAM TACK</t>
  </si>
  <si>
    <t>MAIN LABEL MAKE &amp; ATTACH</t>
  </si>
  <si>
    <t>WAIST BAND MARK &amp; JOIN</t>
  </si>
  <si>
    <t xml:space="preserve">WAIST BAND MARK &amp; PAIR </t>
  </si>
  <si>
    <t>FRONT WAIST BAND RUNBSTITCH</t>
  </si>
  <si>
    <t>WAIST BAND TACK</t>
  </si>
  <si>
    <t>WAIST BAND ATTACH</t>
  </si>
  <si>
    <t>WAIST BAND 2ND TIME ATTACH</t>
  </si>
  <si>
    <t>WAIST BAND CREASE</t>
  </si>
  <si>
    <t>WAIST BAND PEAK MAKE</t>
  </si>
  <si>
    <t>WAIST ABND CLOSE</t>
  </si>
  <si>
    <t>WAIST BAND PRESS</t>
  </si>
  <si>
    <t>WAIST ELASTIC TACK</t>
  </si>
  <si>
    <t>HOOK ATTACH</t>
  </si>
  <si>
    <t>WAIST BAND FINISH</t>
  </si>
  <si>
    <t xml:space="preserve">FLY TACK </t>
  </si>
  <si>
    <t>BARTACK</t>
  </si>
  <si>
    <t>BT</t>
  </si>
  <si>
    <t>HOOK PATCH TACK</t>
  </si>
  <si>
    <t>SN - 39</t>
  </si>
  <si>
    <t>HD- 11</t>
  </si>
  <si>
    <t>O/L5 -3</t>
  </si>
  <si>
    <t>O/L-3- 1</t>
  </si>
  <si>
    <t>MNCS-0</t>
  </si>
  <si>
    <t>SNEC - 2</t>
  </si>
  <si>
    <t>IRON - 6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</si>
</sst>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name val="Times New Roman"/>
      <family val="1"/>
    </font>
    <font>
      <sz val="36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8"/>
      <color theme="1"/>
      <name val="Calibri"/>
      <family val="2"/>
      <scheme val="minor"/>
    </font>
    <font>
      <sz val="11"/>
      <name val="Arial"/>
      <family val="2"/>
    </font>
    <font>
      <b/>
      <sz val="11"/>
      <color theme="1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8"/>
      <color indexed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indexed="8"/>
      <name val="Arial"/>
      <family val="2"/>
    </font>
    <font>
      <b/>
      <sz val="18"/>
      <color indexed="8"/>
      <name val="Times New Roman"/>
      <family val="1"/>
    </font>
    <font>
      <sz val="11"/>
      <name val="Times New Roman"/>
      <family val="1"/>
    </font>
    <font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28"/>
      <name val="Times New Roman"/>
      <family val="1"/>
    </font>
    <font>
      <sz val="2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66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FF00"/>
        <bgColor indexed="26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2">
    <xf numFmtId="0" fontId="0" fillId="0" borderId="0" xfId="0"/>
    <xf numFmtId="0" fontId="3" fillId="0" borderId="2" xfId="0" applyFont="1" applyBorder="1"/>
    <xf numFmtId="0" fontId="4" fillId="0" borderId="4" xfId="1" applyFont="1" applyBorder="1"/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5" fillId="2" borderId="9" xfId="1" applyFont="1" applyFill="1" applyBorder="1"/>
    <xf numFmtId="0" fontId="5" fillId="0" borderId="10" xfId="1" applyFont="1" applyBorder="1" applyAlignment="1">
      <alignment horizontal="center"/>
    </xf>
    <xf numFmtId="0" fontId="6" fillId="0" borderId="0" xfId="0" applyFont="1" applyBorder="1"/>
    <xf numFmtId="0" fontId="4" fillId="0" borderId="11" xfId="1" applyFont="1" applyBorder="1"/>
    <xf numFmtId="0" fontId="4" fillId="0" borderId="12" xfId="1" applyFont="1" applyBorder="1" applyAlignment="1">
      <alignment horizontal="center" vertical="center"/>
    </xf>
    <xf numFmtId="0" fontId="7" fillId="0" borderId="0" xfId="1" applyFont="1" applyBorder="1"/>
    <xf numFmtId="0" fontId="4" fillId="0" borderId="13" xfId="1" applyFont="1" applyBorder="1"/>
    <xf numFmtId="2" fontId="4" fillId="0" borderId="14" xfId="1" applyNumberFormat="1" applyFont="1" applyBorder="1" applyAlignment="1">
      <alignment horizontal="center"/>
    </xf>
    <xf numFmtId="0" fontId="4" fillId="0" borderId="15" xfId="1" applyFont="1" applyBorder="1"/>
    <xf numFmtId="0" fontId="4" fillId="0" borderId="16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/>
    </xf>
    <xf numFmtId="0" fontId="7" fillId="0" borderId="2" xfId="1" applyFont="1" applyBorder="1"/>
    <xf numFmtId="0" fontId="4" fillId="0" borderId="17" xfId="1" applyFont="1" applyBorder="1"/>
    <xf numFmtId="0" fontId="4" fillId="0" borderId="18" xfId="1" applyFont="1" applyBorder="1" applyAlignment="1">
      <alignment horizontal="center"/>
    </xf>
    <xf numFmtId="0" fontId="4" fillId="0" borderId="19" xfId="1" applyFont="1" applyBorder="1"/>
    <xf numFmtId="0" fontId="4" fillId="0" borderId="9" xfId="1" applyFont="1" applyBorder="1"/>
    <xf numFmtId="1" fontId="4" fillId="0" borderId="10" xfId="1" applyNumberFormat="1" applyFont="1" applyBorder="1" applyAlignment="1">
      <alignment horizontal="center"/>
    </xf>
    <xf numFmtId="0" fontId="9" fillId="0" borderId="11" xfId="1" applyFont="1" applyBorder="1" applyAlignment="1">
      <alignment horizontal="center"/>
    </xf>
    <xf numFmtId="0" fontId="10" fillId="0" borderId="23" xfId="1" applyFont="1" applyBorder="1" applyAlignment="1">
      <alignment horizontal="center"/>
    </xf>
    <xf numFmtId="0" fontId="10" fillId="0" borderId="24" xfId="1" applyFont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/>
    </xf>
    <xf numFmtId="0" fontId="13" fillId="2" borderId="0" xfId="1" applyFont="1" applyFill="1" applyBorder="1" applyAlignment="1">
      <alignment horizontal="center" vertical="center"/>
    </xf>
    <xf numFmtId="0" fontId="12" fillId="0" borderId="8" xfId="1" applyFont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14" fillId="0" borderId="25" xfId="1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center"/>
    </xf>
    <xf numFmtId="0" fontId="14" fillId="0" borderId="9" xfId="1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5" fillId="5" borderId="27" xfId="1" applyFont="1" applyFill="1" applyBorder="1" applyAlignment="1">
      <alignment horizontal="center" vertical="center"/>
    </xf>
    <xf numFmtId="0" fontId="4" fillId="0" borderId="0" xfId="1" applyFont="1" applyBorder="1" applyAlignment="1">
      <alignment vertical="center" wrapText="1"/>
    </xf>
    <xf numFmtId="0" fontId="4" fillId="0" borderId="14" xfId="1" applyFont="1" applyBorder="1" applyAlignment="1">
      <alignment vertical="center" wrapText="1"/>
    </xf>
    <xf numFmtId="0" fontId="16" fillId="4" borderId="5" xfId="1" applyFont="1" applyFill="1" applyBorder="1" applyAlignment="1">
      <alignment horizontal="center"/>
    </xf>
    <xf numFmtId="0" fontId="5" fillId="0" borderId="27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/>
    </xf>
    <xf numFmtId="0" fontId="15" fillId="4" borderId="0" xfId="0" applyFont="1" applyFill="1" applyBorder="1" applyAlignment="1">
      <alignment horizontal="center"/>
    </xf>
    <xf numFmtId="0" fontId="17" fillId="4" borderId="14" xfId="1" applyFont="1" applyFill="1" applyBorder="1" applyAlignment="1">
      <alignment horizontal="center"/>
    </xf>
    <xf numFmtId="0" fontId="5" fillId="0" borderId="26" xfId="1" applyFont="1" applyFill="1" applyBorder="1" applyAlignment="1">
      <alignment horizontal="center" vertical="center"/>
    </xf>
    <xf numFmtId="0" fontId="7" fillId="4" borderId="0" xfId="1" applyFont="1" applyFill="1" applyBorder="1" applyAlignment="1">
      <alignment horizontal="center" vertical="center" textRotation="180" wrapText="1"/>
    </xf>
    <xf numFmtId="0" fontId="6" fillId="4" borderId="0" xfId="0" applyFont="1" applyFill="1" applyBorder="1"/>
    <xf numFmtId="0" fontId="18" fillId="4" borderId="19" xfId="0" applyFont="1" applyFill="1" applyBorder="1" applyAlignment="1" applyProtection="1">
      <alignment horizontal="center"/>
      <protection locked="0"/>
    </xf>
    <xf numFmtId="0" fontId="16" fillId="4" borderId="0" xfId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14" xfId="1" applyFont="1" applyFill="1" applyBorder="1" applyAlignment="1">
      <alignment horizontal="center"/>
    </xf>
    <xf numFmtId="0" fontId="16" fillId="3" borderId="19" xfId="1" applyFont="1" applyFill="1" applyBorder="1" applyAlignment="1">
      <alignment horizontal="center"/>
    </xf>
    <xf numFmtId="0" fontId="0" fillId="4" borderId="27" xfId="0" applyFont="1" applyFill="1" applyBorder="1" applyAlignment="1"/>
    <xf numFmtId="0" fontId="16" fillId="4" borderId="27" xfId="1" applyFont="1" applyFill="1" applyBorder="1" applyAlignment="1">
      <alignment horizontal="center" vertical="center"/>
    </xf>
    <xf numFmtId="0" fontId="5" fillId="4" borderId="0" xfId="1" applyFont="1" applyFill="1" applyBorder="1" applyAlignment="1">
      <alignment horizontal="center"/>
    </xf>
    <xf numFmtId="0" fontId="5" fillId="4" borderId="14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16" fillId="4" borderId="9" xfId="1" applyFont="1" applyFill="1" applyBorder="1" applyAlignment="1">
      <alignment horizontal="center"/>
    </xf>
    <xf numFmtId="0" fontId="5" fillId="3" borderId="29" xfId="1" applyFont="1" applyFill="1" applyBorder="1" applyAlignment="1">
      <alignment horizontal="center"/>
    </xf>
    <xf numFmtId="0" fontId="16" fillId="3" borderId="27" xfId="1" applyFont="1" applyFill="1" applyBorder="1" applyAlignment="1">
      <alignment horizontal="center" vertical="center" wrapText="1"/>
    </xf>
    <xf numFmtId="0" fontId="16" fillId="3" borderId="27" xfId="1" applyFont="1" applyFill="1" applyBorder="1" applyAlignment="1">
      <alignment horizontal="center" vertical="center"/>
    </xf>
    <xf numFmtId="0" fontId="16" fillId="3" borderId="25" xfId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30" xfId="0" applyFont="1" applyFill="1" applyBorder="1" applyAlignment="1">
      <alignment horizontal="center"/>
    </xf>
    <xf numFmtId="0" fontId="15" fillId="4" borderId="19" xfId="0" applyFont="1" applyFill="1" applyBorder="1" applyAlignment="1">
      <alignment horizontal="center" vertical="center"/>
    </xf>
    <xf numFmtId="0" fontId="16" fillId="3" borderId="0" xfId="1" applyFont="1" applyFill="1" applyBorder="1" applyAlignment="1">
      <alignment horizontal="center"/>
    </xf>
    <xf numFmtId="0" fontId="15" fillId="4" borderId="14" xfId="0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/>
    </xf>
    <xf numFmtId="0" fontId="16" fillId="4" borderId="19" xfId="1" applyFont="1" applyFill="1" applyBorder="1" applyAlignment="1">
      <alignment horizontal="center"/>
    </xf>
    <xf numFmtId="0" fontId="18" fillId="4" borderId="14" xfId="0" applyFont="1" applyFill="1" applyBorder="1" applyAlignment="1" applyProtection="1">
      <alignment horizontal="center" vertical="center"/>
      <protection locked="0"/>
    </xf>
    <xf numFmtId="0" fontId="5" fillId="3" borderId="14" xfId="1" applyFont="1" applyFill="1" applyBorder="1" applyAlignment="1">
      <alignment horizontal="center"/>
    </xf>
    <xf numFmtId="0" fontId="4" fillId="4" borderId="32" xfId="1" applyFont="1" applyFill="1" applyBorder="1" applyAlignment="1">
      <alignment horizontal="center"/>
    </xf>
    <xf numFmtId="0" fontId="16" fillId="0" borderId="19" xfId="1" applyFont="1" applyFill="1" applyBorder="1" applyAlignment="1">
      <alignment horizontal="center"/>
    </xf>
    <xf numFmtId="0" fontId="16" fillId="0" borderId="0" xfId="1" applyFont="1" applyFill="1" applyBorder="1" applyAlignment="1">
      <alignment horizontal="center"/>
    </xf>
    <xf numFmtId="0" fontId="16" fillId="4" borderId="27" xfId="1" applyFont="1" applyFill="1" applyBorder="1" applyAlignment="1">
      <alignment horizontal="center" vertical="center" wrapText="1"/>
    </xf>
    <xf numFmtId="0" fontId="7" fillId="4" borderId="33" xfId="1" applyFont="1" applyFill="1" applyBorder="1" applyAlignment="1">
      <alignment horizontal="center" vertical="center" textRotation="180" wrapText="1"/>
    </xf>
    <xf numFmtId="0" fontId="16" fillId="4" borderId="34" xfId="1" applyFont="1" applyFill="1" applyBorder="1" applyAlignment="1">
      <alignment horizontal="center" vertical="center"/>
    </xf>
    <xf numFmtId="0" fontId="5" fillId="4" borderId="35" xfId="1" applyFont="1" applyFill="1" applyBorder="1" applyAlignment="1">
      <alignment horizontal="center"/>
    </xf>
    <xf numFmtId="0" fontId="19" fillId="4" borderId="0" xfId="0" applyFont="1" applyFill="1" applyBorder="1" applyAlignment="1">
      <alignment horizontal="center"/>
    </xf>
    <xf numFmtId="0" fontId="5" fillId="4" borderId="27" xfId="1" applyFont="1" applyFill="1" applyBorder="1" applyAlignment="1">
      <alignment horizontal="center" vertical="center"/>
    </xf>
    <xf numFmtId="0" fontId="16" fillId="5" borderId="25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 vertical="center" textRotation="180" wrapText="1"/>
    </xf>
    <xf numFmtId="0" fontId="16" fillId="5" borderId="0" xfId="1" applyFont="1" applyFill="1" applyBorder="1" applyAlignment="1">
      <alignment horizontal="center"/>
    </xf>
    <xf numFmtId="0" fontId="4" fillId="4" borderId="0" xfId="1" applyFont="1" applyFill="1" applyBorder="1" applyAlignment="1">
      <alignment horizontal="center"/>
    </xf>
    <xf numFmtId="0" fontId="20" fillId="4" borderId="6" xfId="0" applyFont="1" applyFill="1" applyBorder="1" applyAlignment="1">
      <alignment horizontal="center"/>
    </xf>
    <xf numFmtId="0" fontId="21" fillId="5" borderId="25" xfId="1" applyFont="1" applyFill="1" applyBorder="1" applyAlignment="1">
      <alignment horizontal="center"/>
    </xf>
    <xf numFmtId="0" fontId="21" fillId="5" borderId="9" xfId="1" applyFont="1" applyFill="1" applyBorder="1" applyAlignment="1">
      <alignment horizontal="center"/>
    </xf>
    <xf numFmtId="0" fontId="22" fillId="5" borderId="6" xfId="1" applyFont="1" applyFill="1" applyBorder="1" applyAlignment="1">
      <alignment horizontal="center" vertical="center"/>
    </xf>
    <xf numFmtId="0" fontId="21" fillId="3" borderId="19" xfId="1" applyFont="1" applyFill="1" applyBorder="1" applyAlignment="1">
      <alignment horizontal="center"/>
    </xf>
    <xf numFmtId="0" fontId="13" fillId="3" borderId="29" xfId="1" applyFont="1" applyFill="1" applyBorder="1" applyAlignment="1">
      <alignment horizontal="center"/>
    </xf>
    <xf numFmtId="0" fontId="22" fillId="0" borderId="37" xfId="1" applyFont="1" applyBorder="1"/>
    <xf numFmtId="0" fontId="23" fillId="0" borderId="19" xfId="0" applyFont="1" applyBorder="1"/>
    <xf numFmtId="0" fontId="23" fillId="0" borderId="0" xfId="0" applyFont="1" applyBorder="1"/>
    <xf numFmtId="0" fontId="22" fillId="0" borderId="27" xfId="1" applyFont="1" applyFill="1" applyBorder="1" applyAlignment="1">
      <alignment horizontal="left"/>
    </xf>
    <xf numFmtId="0" fontId="12" fillId="0" borderId="38" xfId="1" applyFont="1" applyBorder="1"/>
    <xf numFmtId="0" fontId="12" fillId="6" borderId="39" xfId="1" applyFont="1" applyFill="1" applyBorder="1"/>
    <xf numFmtId="0" fontId="24" fillId="0" borderId="0" xfId="1" applyFont="1" applyBorder="1"/>
    <xf numFmtId="0" fontId="24" fillId="0" borderId="19" xfId="1" applyFont="1" applyBorder="1"/>
    <xf numFmtId="0" fontId="12" fillId="7" borderId="39" xfId="1" applyFont="1" applyFill="1" applyBorder="1"/>
    <xf numFmtId="0" fontId="12" fillId="0" borderId="19" xfId="1" applyFont="1" applyBorder="1" applyAlignment="1">
      <alignment horizontal="left"/>
    </xf>
    <xf numFmtId="0" fontId="12" fillId="0" borderId="0" xfId="1" applyFont="1" applyBorder="1"/>
    <xf numFmtId="0" fontId="22" fillId="0" borderId="6" xfId="1" applyFont="1" applyFill="1" applyBorder="1" applyAlignment="1">
      <alignment horizontal="left"/>
    </xf>
    <xf numFmtId="0" fontId="12" fillId="0" borderId="19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22" fillId="0" borderId="36" xfId="1" applyFont="1" applyBorder="1"/>
    <xf numFmtId="0" fontId="12" fillId="0" borderId="36" xfId="1" applyFont="1" applyBorder="1"/>
    <xf numFmtId="0" fontId="12" fillId="0" borderId="31" xfId="1" applyFont="1" applyBorder="1" applyAlignment="1">
      <alignment horizontal="center"/>
    </xf>
    <xf numFmtId="0" fontId="25" fillId="0" borderId="19" xfId="1" applyFont="1" applyBorder="1" applyAlignment="1">
      <alignment horizontal="right"/>
    </xf>
    <xf numFmtId="0" fontId="25" fillId="0" borderId="0" xfId="1" applyFont="1" applyBorder="1" applyAlignment="1">
      <alignment horizontal="center"/>
    </xf>
    <xf numFmtId="0" fontId="25" fillId="0" borderId="0" xfId="1" applyFont="1" applyBorder="1"/>
    <xf numFmtId="0" fontId="1" fillId="0" borderId="0" xfId="1" applyBorder="1"/>
    <xf numFmtId="0" fontId="0" fillId="0" borderId="0" xfId="0" applyBorder="1"/>
    <xf numFmtId="0" fontId="1" fillId="0" borderId="19" xfId="1" applyBorder="1"/>
    <xf numFmtId="0" fontId="0" fillId="0" borderId="19" xfId="0" applyBorder="1"/>
    <xf numFmtId="0" fontId="26" fillId="4" borderId="0" xfId="0" applyFont="1" applyFill="1" applyBorder="1" applyAlignment="1" applyProtection="1">
      <alignment horizontal="center"/>
      <protection locked="0"/>
    </xf>
    <xf numFmtId="0" fontId="4" fillId="0" borderId="0" xfId="1" applyFont="1" applyBorder="1" applyAlignment="1">
      <alignment horizontal="center" vertical="center" wrapText="1"/>
    </xf>
    <xf numFmtId="0" fontId="5" fillId="5" borderId="27" xfId="1" applyFont="1" applyFill="1" applyBorder="1" applyAlignment="1">
      <alignment horizontal="center" vertical="center"/>
    </xf>
    <xf numFmtId="0" fontId="12" fillId="0" borderId="0" xfId="1" applyFont="1" applyBorder="1" applyAlignment="1">
      <alignment horizontal="center"/>
    </xf>
    <xf numFmtId="0" fontId="4" fillId="0" borderId="8" xfId="1" applyFont="1" applyBorder="1" applyAlignment="1">
      <alignment vertical="center"/>
    </xf>
    <xf numFmtId="1" fontId="4" fillId="0" borderId="7" xfId="1" applyNumberFormat="1" applyFont="1" applyBorder="1" applyAlignment="1">
      <alignment horizontal="center" vertical="center"/>
    </xf>
    <xf numFmtId="0" fontId="5" fillId="5" borderId="27" xfId="1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2" fillId="0" borderId="0" xfId="1" applyFont="1" applyBorder="1" applyAlignment="1">
      <alignment horizontal="center"/>
    </xf>
    <xf numFmtId="0" fontId="12" fillId="0" borderId="36" xfId="1" applyFont="1" applyBorder="1" applyAlignment="1">
      <alignment horizontal="center"/>
    </xf>
    <xf numFmtId="0" fontId="5" fillId="5" borderId="26" xfId="1" applyFont="1" applyFill="1" applyBorder="1" applyAlignment="1">
      <alignment horizontal="center" vertical="center"/>
    </xf>
    <xf numFmtId="0" fontId="5" fillId="5" borderId="28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/>
    </xf>
    <xf numFmtId="0" fontId="5" fillId="3" borderId="31" xfId="1" applyFont="1" applyFill="1" applyBorder="1" applyAlignment="1">
      <alignment horizontal="center"/>
    </xf>
    <xf numFmtId="0" fontId="5" fillId="5" borderId="27" xfId="1" applyFont="1" applyFill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/>
    </xf>
    <xf numFmtId="0" fontId="13" fillId="5" borderId="2" xfId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/>
    </xf>
    <xf numFmtId="0" fontId="13" fillId="5" borderId="30" xfId="1" applyFont="1" applyFill="1" applyBorder="1" applyAlignment="1">
      <alignment horizontal="center" vertical="center"/>
    </xf>
    <xf numFmtId="0" fontId="13" fillId="5" borderId="36" xfId="1" applyFont="1" applyFill="1" applyBorder="1" applyAlignment="1">
      <alignment horizontal="center" vertical="center"/>
    </xf>
    <xf numFmtId="0" fontId="13" fillId="5" borderId="31" xfId="1" applyFont="1" applyFill="1" applyBorder="1" applyAlignment="1">
      <alignment horizontal="center" vertical="center"/>
    </xf>
    <xf numFmtId="0" fontId="13" fillId="3" borderId="0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left" vertical="top"/>
    </xf>
    <xf numFmtId="0" fontId="5" fillId="5" borderId="26" xfId="1" applyFont="1" applyFill="1" applyBorder="1" applyAlignment="1">
      <alignment horizontal="center" vertical="center" wrapText="1"/>
    </xf>
    <xf numFmtId="0" fontId="5" fillId="5" borderId="28" xfId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8" fillId="3" borderId="20" xfId="1" applyFont="1" applyFill="1" applyBorder="1" applyAlignment="1">
      <alignment horizontal="center"/>
    </xf>
    <xf numFmtId="0" fontId="8" fillId="3" borderId="21" xfId="1" applyFont="1" applyFill="1" applyBorder="1" applyAlignment="1">
      <alignment horizontal="center"/>
    </xf>
    <xf numFmtId="0" fontId="8" fillId="3" borderId="22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15" fillId="8" borderId="6" xfId="0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/>
    </xf>
    <xf numFmtId="0" fontId="5" fillId="9" borderId="26" xfId="1" applyFont="1" applyFill="1" applyBorder="1" applyAlignment="1">
      <alignment horizontal="center" vertical="center"/>
    </xf>
    <xf numFmtId="0" fontId="5" fillId="9" borderId="28" xfId="1" applyFont="1" applyFill="1" applyBorder="1" applyAlignment="1">
      <alignment horizontal="center" vertical="center"/>
    </xf>
    <xf numFmtId="0" fontId="16" fillId="10" borderId="25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604838</xdr:colOff>
      <xdr:row>120</xdr:row>
      <xdr:rowOff>4762</xdr:rowOff>
    </xdr:from>
    <xdr:to>
      <xdr:col>5</xdr:col>
      <xdr:colOff>604838</xdr:colOff>
      <xdr:row>121</xdr:row>
      <xdr:rowOff>142875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6857720" y="27391938"/>
          <a:ext cx="0" cy="395849"/>
          <a:chOff x="21087" y="97212"/>
          <a:chExt cx="2156" cy="824"/>
        </a:xfrm>
      </xdr:grpSpPr>
      <xdr:sp macro="" textlink="">
        <xdr:nvSpPr>
          <xdr:cNvPr id="3" name="Rectangle 2"/>
          <xdr:cNvSpPr>
            <a:spLocks noChangeArrowheads="1"/>
          </xdr:cNvSpPr>
        </xdr:nvSpPr>
        <xdr:spPr bwMode="auto">
          <a:xfrm flipV="1">
            <a:off x="21087" y="97212"/>
            <a:ext cx="2156" cy="824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4" name="Group 3"/>
          <xdr:cNvGrpSpPr>
            <a:grpSpLocks/>
          </xdr:cNvGrpSpPr>
        </xdr:nvGrpSpPr>
        <xdr:grpSpPr bwMode="auto">
          <a:xfrm>
            <a:off x="21441" y="97361"/>
            <a:ext cx="1296" cy="533"/>
            <a:chOff x="21441" y="97361"/>
            <a:chExt cx="1296" cy="533"/>
          </a:xfrm>
        </xdr:grpSpPr>
        <xdr:sp macro="" textlink="">
          <xdr:nvSpPr>
            <xdr:cNvPr id="5" name="Line 4"/>
            <xdr:cNvSpPr>
              <a:spLocks noChangeShapeType="1"/>
            </xdr:cNvSpPr>
          </xdr:nvSpPr>
          <xdr:spPr bwMode="auto">
            <a:xfrm flipV="1">
              <a:off x="21441" y="97361"/>
              <a:ext cx="1296" cy="521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  <xdr:sp macro="" textlink="">
          <xdr:nvSpPr>
            <xdr:cNvPr id="6" name="Line 5"/>
            <xdr:cNvSpPr>
              <a:spLocks noChangeShapeType="1"/>
            </xdr:cNvSpPr>
          </xdr:nvSpPr>
          <xdr:spPr bwMode="auto">
            <a:xfrm>
              <a:off x="21441" y="97434"/>
              <a:ext cx="1296" cy="460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120532</xdr:colOff>
      <xdr:row>123</xdr:row>
      <xdr:rowOff>52390</xdr:rowOff>
    </xdr:from>
    <xdr:to>
      <xdr:col>3</xdr:col>
      <xdr:colOff>4762</xdr:colOff>
      <xdr:row>125</xdr:row>
      <xdr:rowOff>23813</xdr:rowOff>
    </xdr:to>
    <xdr:grpSp>
      <xdr:nvGrpSpPr>
        <xdr:cNvPr id="7" name="Group 6"/>
        <xdr:cNvGrpSpPr>
          <a:grpSpLocks/>
        </xdr:cNvGrpSpPr>
      </xdr:nvGrpSpPr>
      <xdr:grpSpPr bwMode="auto">
        <a:xfrm>
          <a:off x="4714944" y="28212772"/>
          <a:ext cx="635024" cy="486894"/>
          <a:chOff x="38746" y="98259"/>
          <a:chExt cx="3836" cy="829"/>
        </a:xfrm>
      </xdr:grpSpPr>
      <xdr:sp macro="" textlink="">
        <xdr:nvSpPr>
          <xdr:cNvPr id="8" name="Rectangle 7"/>
          <xdr:cNvSpPr>
            <a:spLocks noChangeArrowheads="1"/>
          </xdr:cNvSpPr>
        </xdr:nvSpPr>
        <xdr:spPr bwMode="auto">
          <a:xfrm>
            <a:off x="38746" y="98259"/>
            <a:ext cx="3836" cy="829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9" name="Group 8"/>
          <xdr:cNvGrpSpPr>
            <a:grpSpLocks/>
          </xdr:cNvGrpSpPr>
        </xdr:nvGrpSpPr>
        <xdr:grpSpPr bwMode="auto">
          <a:xfrm>
            <a:off x="38985" y="98439"/>
            <a:ext cx="3401" cy="538"/>
            <a:chOff x="38985" y="98439"/>
            <a:chExt cx="3401" cy="538"/>
          </a:xfrm>
        </xdr:grpSpPr>
        <xdr:sp macro="" textlink="">
          <xdr:nvSpPr>
            <xdr:cNvPr id="10" name="Line 9"/>
            <xdr:cNvSpPr>
              <a:spLocks noChangeShapeType="1"/>
            </xdr:cNvSpPr>
          </xdr:nvSpPr>
          <xdr:spPr bwMode="auto">
            <a:xfrm>
              <a:off x="38985" y="98761"/>
              <a:ext cx="977" cy="216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Line 10"/>
            <xdr:cNvSpPr>
              <a:spLocks noChangeShapeType="1"/>
            </xdr:cNvSpPr>
          </xdr:nvSpPr>
          <xdr:spPr bwMode="auto">
            <a:xfrm flipV="1">
              <a:off x="39923" y="98439"/>
              <a:ext cx="2463" cy="529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0</xdr:colOff>
      <xdr:row>124</xdr:row>
      <xdr:rowOff>89</xdr:rowOff>
    </xdr:to>
    <xdr:grpSp>
      <xdr:nvGrpSpPr>
        <xdr:cNvPr id="12" name="Group 11"/>
        <xdr:cNvGrpSpPr>
          <a:grpSpLocks/>
        </xdr:cNvGrpSpPr>
      </xdr:nvGrpSpPr>
      <xdr:grpSpPr bwMode="auto">
        <a:xfrm>
          <a:off x="7362265" y="28160382"/>
          <a:ext cx="0" cy="257825"/>
          <a:chOff x="38683" y="98291"/>
          <a:chExt cx="3836" cy="829"/>
        </a:xfrm>
      </xdr:grpSpPr>
      <xdr:sp macro="" textlink="">
        <xdr:nvSpPr>
          <xdr:cNvPr id="13" name="Rectangle 12"/>
          <xdr:cNvSpPr>
            <a:spLocks noChangeArrowheads="1"/>
          </xdr:cNvSpPr>
        </xdr:nvSpPr>
        <xdr:spPr bwMode="auto">
          <a:xfrm>
            <a:off x="38683" y="98291"/>
            <a:ext cx="3836" cy="829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4" name="Group 8"/>
          <xdr:cNvGrpSpPr>
            <a:grpSpLocks/>
          </xdr:cNvGrpSpPr>
        </xdr:nvGrpSpPr>
        <xdr:grpSpPr bwMode="auto">
          <a:xfrm>
            <a:off x="39688" y="98481"/>
            <a:ext cx="2660" cy="442"/>
            <a:chOff x="39688" y="98481"/>
            <a:chExt cx="2660" cy="442"/>
          </a:xfrm>
        </xdr:grpSpPr>
        <xdr:sp macro="" textlink="">
          <xdr:nvSpPr>
            <xdr:cNvPr id="15" name="Line 9"/>
            <xdr:cNvSpPr>
              <a:spLocks noChangeShapeType="1"/>
            </xdr:cNvSpPr>
          </xdr:nvSpPr>
          <xdr:spPr bwMode="auto">
            <a:xfrm>
              <a:off x="39688" y="98707"/>
              <a:ext cx="977" cy="216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Line 10"/>
            <xdr:cNvSpPr>
              <a:spLocks noChangeShapeType="1"/>
            </xdr:cNvSpPr>
          </xdr:nvSpPr>
          <xdr:spPr bwMode="auto">
            <a:xfrm flipV="1">
              <a:off x="40626" y="98481"/>
              <a:ext cx="1722" cy="433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128588</xdr:colOff>
      <xdr:row>119</xdr:row>
      <xdr:rowOff>0</xdr:rowOff>
    </xdr:from>
    <xdr:to>
      <xdr:col>3</xdr:col>
      <xdr:colOff>0</xdr:colOff>
      <xdr:row>123</xdr:row>
      <xdr:rowOff>4762</xdr:rowOff>
    </xdr:to>
    <xdr:grpSp>
      <xdr:nvGrpSpPr>
        <xdr:cNvPr id="17" name="Group 16"/>
        <xdr:cNvGrpSpPr>
          <a:grpSpLocks/>
        </xdr:cNvGrpSpPr>
      </xdr:nvGrpSpPr>
      <xdr:grpSpPr bwMode="auto">
        <a:xfrm>
          <a:off x="4723000" y="27129441"/>
          <a:ext cx="622206" cy="1035703"/>
          <a:chOff x="21087" y="97212"/>
          <a:chExt cx="2156" cy="824"/>
        </a:xfrm>
      </xdr:grpSpPr>
      <xdr:sp macro="" textlink="">
        <xdr:nvSpPr>
          <xdr:cNvPr id="18" name="Rectangle 17"/>
          <xdr:cNvSpPr>
            <a:spLocks noChangeArrowheads="1"/>
          </xdr:cNvSpPr>
        </xdr:nvSpPr>
        <xdr:spPr bwMode="auto">
          <a:xfrm flipV="1">
            <a:off x="21087" y="97212"/>
            <a:ext cx="2156" cy="824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9" name="Group 28"/>
          <xdr:cNvGrpSpPr>
            <a:grpSpLocks/>
          </xdr:cNvGrpSpPr>
        </xdr:nvGrpSpPr>
        <xdr:grpSpPr bwMode="auto">
          <a:xfrm>
            <a:off x="21441" y="97361"/>
            <a:ext cx="1296" cy="533"/>
            <a:chOff x="21441" y="97361"/>
            <a:chExt cx="1296" cy="533"/>
          </a:xfrm>
        </xdr:grpSpPr>
        <xdr:sp macro="" textlink="">
          <xdr:nvSpPr>
            <xdr:cNvPr id="20" name="Line 4"/>
            <xdr:cNvSpPr>
              <a:spLocks noChangeShapeType="1"/>
            </xdr:cNvSpPr>
          </xdr:nvSpPr>
          <xdr:spPr bwMode="auto">
            <a:xfrm flipV="1">
              <a:off x="21441" y="97361"/>
              <a:ext cx="1296" cy="521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  <xdr:sp macro="" textlink="">
          <xdr:nvSpPr>
            <xdr:cNvPr id="21" name="Line 5"/>
            <xdr:cNvSpPr>
              <a:spLocks noChangeShapeType="1"/>
            </xdr:cNvSpPr>
          </xdr:nvSpPr>
          <xdr:spPr bwMode="auto">
            <a:xfrm>
              <a:off x="21441" y="97434"/>
              <a:ext cx="1296" cy="460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604838</xdr:colOff>
      <xdr:row>114</xdr:row>
      <xdr:rowOff>4762</xdr:rowOff>
    </xdr:from>
    <xdr:to>
      <xdr:col>5</xdr:col>
      <xdr:colOff>604838</xdr:colOff>
      <xdr:row>115</xdr:row>
      <xdr:rowOff>142875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7000195" y="26956624"/>
          <a:ext cx="0" cy="390817"/>
          <a:chOff x="21087" y="97212"/>
          <a:chExt cx="2156" cy="824"/>
        </a:xfrm>
      </xdr:grpSpPr>
      <xdr:sp macro="" textlink="">
        <xdr:nvSpPr>
          <xdr:cNvPr id="3" name="Rectangle 2"/>
          <xdr:cNvSpPr>
            <a:spLocks noChangeArrowheads="1"/>
          </xdr:cNvSpPr>
        </xdr:nvSpPr>
        <xdr:spPr bwMode="auto">
          <a:xfrm flipV="1">
            <a:off x="21087" y="97212"/>
            <a:ext cx="2156" cy="824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4" name="Group 3"/>
          <xdr:cNvGrpSpPr>
            <a:grpSpLocks/>
          </xdr:cNvGrpSpPr>
        </xdr:nvGrpSpPr>
        <xdr:grpSpPr bwMode="auto">
          <a:xfrm>
            <a:off x="21441" y="97361"/>
            <a:ext cx="1296" cy="533"/>
            <a:chOff x="21441" y="97361"/>
            <a:chExt cx="1296" cy="533"/>
          </a:xfrm>
        </xdr:grpSpPr>
        <xdr:sp macro="" textlink="">
          <xdr:nvSpPr>
            <xdr:cNvPr id="5" name="Line 4"/>
            <xdr:cNvSpPr>
              <a:spLocks noChangeShapeType="1"/>
            </xdr:cNvSpPr>
          </xdr:nvSpPr>
          <xdr:spPr bwMode="auto">
            <a:xfrm flipV="1">
              <a:off x="21441" y="97361"/>
              <a:ext cx="1296" cy="521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  <xdr:sp macro="" textlink="">
          <xdr:nvSpPr>
            <xdr:cNvPr id="6" name="Line 5"/>
            <xdr:cNvSpPr>
              <a:spLocks noChangeShapeType="1"/>
            </xdr:cNvSpPr>
          </xdr:nvSpPr>
          <xdr:spPr bwMode="auto">
            <a:xfrm>
              <a:off x="21441" y="97434"/>
              <a:ext cx="1296" cy="460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120532</xdr:colOff>
      <xdr:row>117</xdr:row>
      <xdr:rowOff>52390</xdr:rowOff>
    </xdr:from>
    <xdr:to>
      <xdr:col>3</xdr:col>
      <xdr:colOff>4762</xdr:colOff>
      <xdr:row>119</xdr:row>
      <xdr:rowOff>23813</xdr:rowOff>
    </xdr:to>
    <xdr:grpSp>
      <xdr:nvGrpSpPr>
        <xdr:cNvPr id="7" name="Group 6"/>
        <xdr:cNvGrpSpPr>
          <a:grpSpLocks/>
        </xdr:cNvGrpSpPr>
      </xdr:nvGrpSpPr>
      <xdr:grpSpPr bwMode="auto">
        <a:xfrm>
          <a:off x="4727522" y="27762364"/>
          <a:ext cx="632623" cy="476832"/>
          <a:chOff x="38746" y="98259"/>
          <a:chExt cx="3836" cy="829"/>
        </a:xfrm>
      </xdr:grpSpPr>
      <xdr:sp macro="" textlink="">
        <xdr:nvSpPr>
          <xdr:cNvPr id="8" name="Rectangle 7"/>
          <xdr:cNvSpPr>
            <a:spLocks noChangeArrowheads="1"/>
          </xdr:cNvSpPr>
        </xdr:nvSpPr>
        <xdr:spPr bwMode="auto">
          <a:xfrm>
            <a:off x="38746" y="98259"/>
            <a:ext cx="3836" cy="829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9" name="Group 8"/>
          <xdr:cNvGrpSpPr>
            <a:grpSpLocks/>
          </xdr:cNvGrpSpPr>
        </xdr:nvGrpSpPr>
        <xdr:grpSpPr bwMode="auto">
          <a:xfrm>
            <a:off x="38985" y="98439"/>
            <a:ext cx="3401" cy="538"/>
            <a:chOff x="38985" y="98439"/>
            <a:chExt cx="3401" cy="538"/>
          </a:xfrm>
        </xdr:grpSpPr>
        <xdr:sp macro="" textlink="">
          <xdr:nvSpPr>
            <xdr:cNvPr id="10" name="Line 9"/>
            <xdr:cNvSpPr>
              <a:spLocks noChangeShapeType="1"/>
            </xdr:cNvSpPr>
          </xdr:nvSpPr>
          <xdr:spPr bwMode="auto">
            <a:xfrm>
              <a:off x="38985" y="98761"/>
              <a:ext cx="977" cy="216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Line 10"/>
            <xdr:cNvSpPr>
              <a:spLocks noChangeShapeType="1"/>
            </xdr:cNvSpPr>
          </xdr:nvSpPr>
          <xdr:spPr bwMode="auto">
            <a:xfrm flipV="1">
              <a:off x="39923" y="98439"/>
              <a:ext cx="2463" cy="529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0</xdr:colOff>
      <xdr:row>118</xdr:row>
      <xdr:rowOff>89</xdr:rowOff>
    </xdr:to>
    <xdr:grpSp>
      <xdr:nvGrpSpPr>
        <xdr:cNvPr id="12" name="Group 11"/>
        <xdr:cNvGrpSpPr>
          <a:grpSpLocks/>
        </xdr:cNvGrpSpPr>
      </xdr:nvGrpSpPr>
      <xdr:grpSpPr bwMode="auto">
        <a:xfrm>
          <a:off x="7513087" y="27709974"/>
          <a:ext cx="0" cy="252794"/>
          <a:chOff x="38683" y="98291"/>
          <a:chExt cx="3836" cy="829"/>
        </a:xfrm>
      </xdr:grpSpPr>
      <xdr:sp macro="" textlink="">
        <xdr:nvSpPr>
          <xdr:cNvPr id="13" name="Rectangle 12"/>
          <xdr:cNvSpPr>
            <a:spLocks noChangeArrowheads="1"/>
          </xdr:cNvSpPr>
        </xdr:nvSpPr>
        <xdr:spPr bwMode="auto">
          <a:xfrm>
            <a:off x="38683" y="98291"/>
            <a:ext cx="3836" cy="829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4" name="Group 8"/>
          <xdr:cNvGrpSpPr>
            <a:grpSpLocks/>
          </xdr:cNvGrpSpPr>
        </xdr:nvGrpSpPr>
        <xdr:grpSpPr bwMode="auto">
          <a:xfrm>
            <a:off x="39688" y="98481"/>
            <a:ext cx="2660" cy="442"/>
            <a:chOff x="39688" y="98481"/>
            <a:chExt cx="2660" cy="442"/>
          </a:xfrm>
        </xdr:grpSpPr>
        <xdr:sp macro="" textlink="">
          <xdr:nvSpPr>
            <xdr:cNvPr id="15" name="Line 9"/>
            <xdr:cNvSpPr>
              <a:spLocks noChangeShapeType="1"/>
            </xdr:cNvSpPr>
          </xdr:nvSpPr>
          <xdr:spPr bwMode="auto">
            <a:xfrm>
              <a:off x="39688" y="98707"/>
              <a:ext cx="977" cy="216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Line 10"/>
            <xdr:cNvSpPr>
              <a:spLocks noChangeShapeType="1"/>
            </xdr:cNvSpPr>
          </xdr:nvSpPr>
          <xdr:spPr bwMode="auto">
            <a:xfrm flipV="1">
              <a:off x="40626" y="98481"/>
              <a:ext cx="1722" cy="433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128588</xdr:colOff>
      <xdr:row>113</xdr:row>
      <xdr:rowOff>0</xdr:rowOff>
    </xdr:from>
    <xdr:to>
      <xdr:col>3</xdr:col>
      <xdr:colOff>0</xdr:colOff>
      <xdr:row>117</xdr:row>
      <xdr:rowOff>4762</xdr:rowOff>
    </xdr:to>
    <xdr:grpSp>
      <xdr:nvGrpSpPr>
        <xdr:cNvPr id="17" name="Group 16"/>
        <xdr:cNvGrpSpPr>
          <a:grpSpLocks/>
        </xdr:cNvGrpSpPr>
      </xdr:nvGrpSpPr>
      <xdr:grpSpPr bwMode="auto">
        <a:xfrm>
          <a:off x="4735578" y="26699158"/>
          <a:ext cx="619805" cy="1015578"/>
          <a:chOff x="21087" y="97212"/>
          <a:chExt cx="2156" cy="824"/>
        </a:xfrm>
      </xdr:grpSpPr>
      <xdr:sp macro="" textlink="">
        <xdr:nvSpPr>
          <xdr:cNvPr id="18" name="Rectangle 17"/>
          <xdr:cNvSpPr>
            <a:spLocks noChangeArrowheads="1"/>
          </xdr:cNvSpPr>
        </xdr:nvSpPr>
        <xdr:spPr bwMode="auto">
          <a:xfrm flipV="1">
            <a:off x="21087" y="97212"/>
            <a:ext cx="2156" cy="824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9" name="Group 28"/>
          <xdr:cNvGrpSpPr>
            <a:grpSpLocks/>
          </xdr:cNvGrpSpPr>
        </xdr:nvGrpSpPr>
        <xdr:grpSpPr bwMode="auto">
          <a:xfrm>
            <a:off x="21441" y="97361"/>
            <a:ext cx="1296" cy="533"/>
            <a:chOff x="21441" y="97361"/>
            <a:chExt cx="1296" cy="533"/>
          </a:xfrm>
        </xdr:grpSpPr>
        <xdr:sp macro="" textlink="">
          <xdr:nvSpPr>
            <xdr:cNvPr id="20" name="Line 4"/>
            <xdr:cNvSpPr>
              <a:spLocks noChangeShapeType="1"/>
            </xdr:cNvSpPr>
          </xdr:nvSpPr>
          <xdr:spPr bwMode="auto">
            <a:xfrm flipV="1">
              <a:off x="21441" y="97361"/>
              <a:ext cx="1296" cy="521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  <xdr:sp macro="" textlink="">
          <xdr:nvSpPr>
            <xdr:cNvPr id="21" name="Line 5"/>
            <xdr:cNvSpPr>
              <a:spLocks noChangeShapeType="1"/>
            </xdr:cNvSpPr>
          </xdr:nvSpPr>
          <xdr:spPr bwMode="auto">
            <a:xfrm>
              <a:off x="21441" y="97434"/>
              <a:ext cx="1296" cy="460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zoomScale="85" zoomScaleNormal="85" workbookViewId="0">
      <selection activeCell="A17" sqref="A17"/>
    </sheetView>
  </sheetViews>
  <sheetFormatPr defaultRowHeight="15"/>
  <cols>
    <col min="1" max="1" width="52.28515625" style="119" customWidth="1"/>
    <col min="2" max="2" width="16.7109375" style="117" customWidth="1"/>
    <col min="3" max="3" width="11.28515625" style="117" customWidth="1"/>
    <col min="4" max="4" width="2.42578125" style="117" customWidth="1"/>
    <col min="5" max="5" width="11.28515625" style="117" customWidth="1"/>
    <col min="6" max="6" width="16.7109375" style="117" customWidth="1"/>
    <col min="7" max="7" width="52.28515625" style="117" customWidth="1"/>
    <col min="8" max="14" width="9.140625" style="117"/>
    <col min="15" max="15" width="17.7109375" style="117" bestFit="1" customWidth="1"/>
    <col min="16" max="16384" width="9.140625" style="117"/>
  </cols>
  <sheetData>
    <row r="1" spans="1:7" s="1" customFormat="1" ht="22.5" customHeight="1" thickBot="1">
      <c r="A1" s="148" t="s">
        <v>0</v>
      </c>
      <c r="B1" s="149"/>
      <c r="C1" s="149"/>
      <c r="D1" s="149"/>
      <c r="E1" s="149"/>
      <c r="F1" s="149"/>
      <c r="G1" s="150"/>
    </row>
    <row r="2" spans="1:7" s="7" customFormat="1" ht="18" customHeight="1" thickBot="1">
      <c r="A2" s="2" t="s">
        <v>1</v>
      </c>
      <c r="B2" s="3" t="s">
        <v>2</v>
      </c>
      <c r="C2" s="4" t="s">
        <v>3</v>
      </c>
      <c r="D2" s="151">
        <v>4</v>
      </c>
      <c r="E2" s="152"/>
      <c r="F2" s="5" t="s">
        <v>4</v>
      </c>
      <c r="G2" s="6">
        <v>58</v>
      </c>
    </row>
    <row r="3" spans="1:7" s="7" customFormat="1" ht="18" customHeight="1" thickBot="1">
      <c r="A3" s="8" t="s">
        <v>5</v>
      </c>
      <c r="B3" s="9" t="s">
        <v>107</v>
      </c>
      <c r="C3" s="10"/>
      <c r="D3" s="10"/>
      <c r="E3" s="10"/>
      <c r="F3" s="11" t="s">
        <v>6</v>
      </c>
      <c r="G3" s="12">
        <v>43</v>
      </c>
    </row>
    <row r="4" spans="1:7" s="7" customFormat="1" ht="18" customHeight="1" thickBot="1">
      <c r="A4" s="13" t="s">
        <v>7</v>
      </c>
      <c r="B4" s="14" t="s">
        <v>8</v>
      </c>
      <c r="C4" s="15"/>
      <c r="D4" s="15"/>
      <c r="E4" s="16"/>
      <c r="F4" s="17" t="s">
        <v>9</v>
      </c>
      <c r="G4" s="18">
        <v>68</v>
      </c>
    </row>
    <row r="5" spans="1:7" s="7" customFormat="1" ht="18" customHeight="1" thickBot="1">
      <c r="A5" s="19" t="s">
        <v>10</v>
      </c>
      <c r="B5" s="15">
        <v>12000</v>
      </c>
      <c r="C5" s="153" t="s">
        <v>11</v>
      </c>
      <c r="D5" s="154"/>
      <c r="E5" s="155"/>
      <c r="F5" s="20" t="s">
        <v>12</v>
      </c>
      <c r="G5" s="21">
        <f>((G2*60)/G3)</f>
        <v>80.930232558139537</v>
      </c>
    </row>
    <row r="6" spans="1:7" s="7" customFormat="1" ht="18" customHeight="1" thickBot="1">
      <c r="A6" s="22"/>
      <c r="B6" s="23"/>
      <c r="C6" s="156"/>
      <c r="D6" s="156"/>
      <c r="E6" s="156"/>
      <c r="F6" s="23"/>
      <c r="G6" s="24"/>
    </row>
    <row r="7" spans="1:7" s="7" customFormat="1" ht="32.25" customHeight="1" thickBot="1">
      <c r="A7" s="25" t="s">
        <v>13</v>
      </c>
      <c r="B7" s="26" t="s">
        <v>14</v>
      </c>
      <c r="C7" s="27" t="s">
        <v>15</v>
      </c>
      <c r="D7" s="28"/>
      <c r="E7" s="27" t="s">
        <v>15</v>
      </c>
      <c r="F7" s="29" t="s">
        <v>14</v>
      </c>
      <c r="G7" s="25" t="s">
        <v>13</v>
      </c>
    </row>
    <row r="8" spans="1:7" s="7" customFormat="1" ht="18" customHeight="1" thickBot="1">
      <c r="A8" s="30" t="s">
        <v>100</v>
      </c>
      <c r="B8" s="31">
        <v>72</v>
      </c>
      <c r="C8" s="130" t="s">
        <v>16</v>
      </c>
      <c r="D8" s="32"/>
      <c r="E8" s="130"/>
      <c r="F8" s="33"/>
      <c r="G8" s="34"/>
    </row>
    <row r="9" spans="1:7" s="7" customFormat="1" ht="18" customHeight="1" thickBot="1">
      <c r="A9" s="35"/>
      <c r="B9" s="36"/>
      <c r="C9" s="131"/>
      <c r="D9" s="32"/>
      <c r="E9" s="131"/>
      <c r="F9" s="38"/>
      <c r="G9" s="39"/>
    </row>
    <row r="10" spans="1:7" s="7" customFormat="1" ht="18" customHeight="1" thickBot="1">
      <c r="A10" s="34" t="s">
        <v>99</v>
      </c>
      <c r="B10" s="31">
        <v>70</v>
      </c>
      <c r="C10" s="130" t="s">
        <v>17</v>
      </c>
      <c r="D10" s="32"/>
      <c r="E10" s="130"/>
      <c r="F10" s="33"/>
      <c r="G10" s="34"/>
    </row>
    <row r="11" spans="1:7" s="7" customFormat="1" ht="18" customHeight="1" thickBot="1">
      <c r="A11" s="35"/>
      <c r="B11" s="36"/>
      <c r="C11" s="131"/>
      <c r="D11" s="32"/>
      <c r="E11" s="131"/>
      <c r="F11" s="38"/>
      <c r="G11" s="39"/>
    </row>
    <row r="12" spans="1:7" s="7" customFormat="1" ht="18" customHeight="1" thickBot="1">
      <c r="A12" s="34" t="s">
        <v>98</v>
      </c>
      <c r="B12" s="31">
        <v>68</v>
      </c>
      <c r="C12" s="130" t="s">
        <v>17</v>
      </c>
      <c r="D12" s="32"/>
      <c r="E12" s="130" t="s">
        <v>17</v>
      </c>
      <c r="F12" s="33">
        <v>71</v>
      </c>
      <c r="G12" s="34" t="s">
        <v>99</v>
      </c>
    </row>
    <row r="13" spans="1:7" s="7" customFormat="1" ht="18" customHeight="1" thickBot="1">
      <c r="A13" s="35"/>
      <c r="B13" s="36"/>
      <c r="C13" s="131"/>
      <c r="D13" s="32"/>
      <c r="E13" s="131"/>
      <c r="F13" s="38"/>
      <c r="G13" s="39"/>
    </row>
    <row r="14" spans="1:7" s="7" customFormat="1" ht="18" customHeight="1" thickBot="1">
      <c r="A14" s="34" t="s">
        <v>18</v>
      </c>
      <c r="B14" s="31">
        <v>66</v>
      </c>
      <c r="C14" s="130" t="s">
        <v>19</v>
      </c>
      <c r="D14" s="32"/>
      <c r="E14" s="130" t="s">
        <v>17</v>
      </c>
      <c r="F14" s="33">
        <v>69</v>
      </c>
      <c r="G14" s="34" t="s">
        <v>98</v>
      </c>
    </row>
    <row r="15" spans="1:7" s="7" customFormat="1" ht="18" customHeight="1" thickBot="1">
      <c r="A15" s="35"/>
      <c r="B15" s="36"/>
      <c r="C15" s="131"/>
      <c r="D15" s="32"/>
      <c r="E15" s="131"/>
      <c r="F15" s="38"/>
      <c r="G15" s="39"/>
    </row>
    <row r="16" spans="1:7" s="7" customFormat="1" ht="18" customHeight="1" thickBot="1">
      <c r="A16" s="34" t="s">
        <v>96</v>
      </c>
      <c r="B16" s="31">
        <v>65</v>
      </c>
      <c r="C16" s="130" t="s">
        <v>17</v>
      </c>
      <c r="D16" s="32"/>
      <c r="E16" s="130" t="s">
        <v>17</v>
      </c>
      <c r="F16" s="33">
        <v>67</v>
      </c>
      <c r="G16" s="34" t="s">
        <v>97</v>
      </c>
    </row>
    <row r="17" spans="1:7" s="7" customFormat="1" ht="18" customHeight="1" thickBot="1">
      <c r="A17" s="35"/>
      <c r="B17" s="36"/>
      <c r="C17" s="131"/>
      <c r="D17" s="32"/>
      <c r="E17" s="131"/>
      <c r="F17" s="38"/>
      <c r="G17" s="39"/>
    </row>
    <row r="18" spans="1:7" s="7" customFormat="1" ht="18" customHeight="1" thickBot="1">
      <c r="A18" s="34" t="s">
        <v>21</v>
      </c>
      <c r="B18" s="31">
        <v>63</v>
      </c>
      <c r="C18" s="130" t="s">
        <v>17</v>
      </c>
      <c r="D18" s="32"/>
      <c r="E18" s="130" t="s">
        <v>17</v>
      </c>
      <c r="F18" s="33">
        <v>64</v>
      </c>
      <c r="G18" s="34" t="s">
        <v>20</v>
      </c>
    </row>
    <row r="19" spans="1:7" s="7" customFormat="1" ht="18" customHeight="1" thickBot="1">
      <c r="A19" s="35"/>
      <c r="B19" s="36"/>
      <c r="C19" s="131"/>
      <c r="D19" s="32"/>
      <c r="E19" s="131"/>
      <c r="F19" s="38"/>
      <c r="G19" s="39"/>
    </row>
    <row r="20" spans="1:7" s="7" customFormat="1" ht="18" customHeight="1" thickBot="1">
      <c r="A20" s="35"/>
      <c r="B20" s="36"/>
      <c r="C20" s="37"/>
      <c r="D20" s="32"/>
      <c r="E20" s="37"/>
      <c r="F20" s="38"/>
      <c r="G20" s="39"/>
    </row>
    <row r="21" spans="1:7" s="7" customFormat="1" ht="18" customHeight="1" thickBot="1">
      <c r="A21" s="34" t="s">
        <v>95</v>
      </c>
      <c r="B21" s="31">
        <v>62</v>
      </c>
      <c r="C21" s="130" t="s">
        <v>17</v>
      </c>
      <c r="D21" s="32"/>
      <c r="E21" s="130" t="s">
        <v>17</v>
      </c>
      <c r="F21" s="33">
        <v>61</v>
      </c>
      <c r="G21" s="34" t="s">
        <v>94</v>
      </c>
    </row>
    <row r="22" spans="1:7" s="7" customFormat="1" ht="18" customHeight="1" thickBot="1">
      <c r="A22" s="35"/>
      <c r="B22" s="36"/>
      <c r="C22" s="131"/>
      <c r="D22" s="32"/>
      <c r="E22" s="131"/>
      <c r="F22" s="38"/>
      <c r="G22" s="39"/>
    </row>
    <row r="23" spans="1:7" s="7" customFormat="1" ht="18" customHeight="1" thickBot="1">
      <c r="A23" s="35"/>
      <c r="B23" s="36"/>
      <c r="C23" s="37"/>
      <c r="D23" s="32"/>
      <c r="E23" s="37"/>
      <c r="F23" s="38"/>
      <c r="G23" s="39"/>
    </row>
    <row r="24" spans="1:7" s="7" customFormat="1" ht="18" customHeight="1" thickBot="1">
      <c r="A24" s="34" t="s">
        <v>93</v>
      </c>
      <c r="B24" s="31">
        <v>59</v>
      </c>
      <c r="C24" s="130" t="s">
        <v>17</v>
      </c>
      <c r="D24" s="32"/>
      <c r="E24" s="130" t="s">
        <v>22</v>
      </c>
      <c r="F24" s="33">
        <v>60</v>
      </c>
      <c r="G24" s="34" t="s">
        <v>23</v>
      </c>
    </row>
    <row r="25" spans="1:7" s="7" customFormat="1" ht="18" customHeight="1" thickBot="1">
      <c r="A25" s="35"/>
      <c r="B25" s="36"/>
      <c r="C25" s="131"/>
      <c r="D25" s="32"/>
      <c r="E25" s="131"/>
      <c r="F25" s="38"/>
      <c r="G25" s="39"/>
    </row>
    <row r="26" spans="1:7" s="7" customFormat="1" ht="18" customHeight="1" thickBot="1">
      <c r="A26" s="35"/>
      <c r="B26" s="36"/>
      <c r="C26" s="37"/>
      <c r="D26" s="32"/>
      <c r="E26" s="37"/>
      <c r="F26" s="38"/>
      <c r="G26" s="39"/>
    </row>
    <row r="27" spans="1:7" s="7" customFormat="1" ht="18" customHeight="1" thickBot="1">
      <c r="A27" s="34" t="s">
        <v>92</v>
      </c>
      <c r="B27" s="31">
        <v>58</v>
      </c>
      <c r="C27" s="130" t="s">
        <v>26</v>
      </c>
      <c r="D27" s="32"/>
      <c r="E27" s="130" t="s">
        <v>17</v>
      </c>
      <c r="F27" s="33">
        <v>57</v>
      </c>
      <c r="G27" s="34" t="s">
        <v>91</v>
      </c>
    </row>
    <row r="28" spans="1:7" s="7" customFormat="1" ht="18" customHeight="1" thickBot="1">
      <c r="A28" s="35"/>
      <c r="B28" s="36"/>
      <c r="C28" s="131"/>
      <c r="D28" s="32"/>
      <c r="E28" s="131"/>
      <c r="F28" s="38"/>
      <c r="G28" s="39"/>
    </row>
    <row r="29" spans="1:7" s="7" customFormat="1" ht="18" customHeight="1" thickBot="1">
      <c r="A29" s="35"/>
      <c r="B29" s="36"/>
      <c r="C29" s="37"/>
      <c r="D29" s="32"/>
      <c r="E29" s="37"/>
      <c r="F29" s="38"/>
      <c r="G29" s="39"/>
    </row>
    <row r="30" spans="1:7" s="7" customFormat="1" ht="18" customHeight="1" thickBot="1">
      <c r="A30" s="34" t="s">
        <v>89</v>
      </c>
      <c r="B30" s="40">
        <v>55</v>
      </c>
      <c r="C30" s="130" t="s">
        <v>26</v>
      </c>
      <c r="D30" s="32"/>
      <c r="E30" s="130" t="s">
        <v>19</v>
      </c>
      <c r="F30" s="33">
        <v>56</v>
      </c>
      <c r="G30" s="34" t="s">
        <v>90</v>
      </c>
    </row>
    <row r="31" spans="1:7" s="7" customFormat="1" ht="18" customHeight="1" thickBot="1">
      <c r="A31" s="35"/>
      <c r="B31" s="36"/>
      <c r="C31" s="131"/>
      <c r="D31" s="32"/>
      <c r="E31" s="131"/>
      <c r="F31" s="38"/>
      <c r="G31" s="39"/>
    </row>
    <row r="32" spans="1:7" s="7" customFormat="1" ht="18" customHeight="1" thickBot="1">
      <c r="A32" s="35"/>
      <c r="B32" s="36"/>
      <c r="C32" s="37"/>
      <c r="D32" s="32"/>
      <c r="E32" s="37"/>
      <c r="F32" s="38"/>
      <c r="G32" s="39"/>
    </row>
    <row r="33" spans="1:7" s="7" customFormat="1" ht="18" customHeight="1" thickBot="1">
      <c r="A33" s="34" t="s">
        <v>87</v>
      </c>
      <c r="B33" s="40">
        <v>53</v>
      </c>
      <c r="C33" s="130" t="s">
        <v>17</v>
      </c>
      <c r="D33" s="32"/>
      <c r="E33" s="130" t="s">
        <v>26</v>
      </c>
      <c r="F33" s="33">
        <v>54</v>
      </c>
      <c r="G33" s="34" t="s">
        <v>88</v>
      </c>
    </row>
    <row r="34" spans="1:7" s="7" customFormat="1" ht="18" customHeight="1" thickBot="1">
      <c r="A34" s="35"/>
      <c r="B34" s="36"/>
      <c r="C34" s="131"/>
      <c r="D34" s="32"/>
      <c r="E34" s="131"/>
      <c r="F34" s="38"/>
      <c r="G34" s="39"/>
    </row>
    <row r="35" spans="1:7" s="7" customFormat="1" ht="18" customHeight="1" thickBot="1">
      <c r="A35" s="35"/>
      <c r="B35" s="36"/>
      <c r="C35" s="37"/>
      <c r="D35" s="32"/>
      <c r="E35" s="37"/>
      <c r="F35" s="38"/>
      <c r="G35" s="39"/>
    </row>
    <row r="36" spans="1:7" s="7" customFormat="1" ht="18" customHeight="1" thickBot="1">
      <c r="A36" s="34" t="s">
        <v>85</v>
      </c>
      <c r="B36" s="40">
        <v>51</v>
      </c>
      <c r="C36" s="130" t="s">
        <v>24</v>
      </c>
      <c r="D36" s="32"/>
      <c r="E36" s="130" t="s">
        <v>19</v>
      </c>
      <c r="F36" s="33">
        <v>52</v>
      </c>
      <c r="G36" s="34" t="s">
        <v>86</v>
      </c>
    </row>
    <row r="37" spans="1:7" s="7" customFormat="1" ht="18" customHeight="1" thickBot="1">
      <c r="A37" s="35"/>
      <c r="B37" s="36"/>
      <c r="C37" s="131"/>
      <c r="D37" s="32"/>
      <c r="E37" s="131"/>
      <c r="F37" s="38"/>
      <c r="G37" s="39"/>
    </row>
    <row r="38" spans="1:7" s="7" customFormat="1" ht="18" customHeight="1" thickBot="1">
      <c r="A38" s="35"/>
      <c r="B38" s="36"/>
      <c r="C38" s="41"/>
      <c r="D38" s="42"/>
      <c r="E38" s="41"/>
      <c r="F38" s="38"/>
      <c r="G38" s="39"/>
    </row>
    <row r="39" spans="1:7" s="7" customFormat="1" ht="18" customHeight="1" thickBot="1">
      <c r="A39" s="34" t="s">
        <v>84</v>
      </c>
      <c r="B39" s="40">
        <v>50</v>
      </c>
      <c r="C39" s="130" t="s">
        <v>28</v>
      </c>
      <c r="D39" s="32"/>
      <c r="E39" s="130" t="s">
        <v>17</v>
      </c>
      <c r="F39" s="33">
        <v>49</v>
      </c>
      <c r="G39" s="34" t="s">
        <v>83</v>
      </c>
    </row>
    <row r="40" spans="1:7" s="7" customFormat="1" ht="18" customHeight="1" thickBot="1">
      <c r="A40" s="35"/>
      <c r="B40" s="36"/>
      <c r="C40" s="131"/>
      <c r="D40" s="32"/>
      <c r="E40" s="131"/>
      <c r="F40" s="38"/>
      <c r="G40" s="39"/>
    </row>
    <row r="41" spans="1:7" s="7" customFormat="1" ht="18" customHeight="1" thickBot="1">
      <c r="A41" s="35"/>
      <c r="B41" s="36"/>
      <c r="C41" s="37"/>
      <c r="D41" s="32"/>
      <c r="E41" s="37"/>
      <c r="F41" s="38"/>
      <c r="G41" s="39"/>
    </row>
    <row r="42" spans="1:7" s="7" customFormat="1" ht="18" customHeight="1" thickBot="1">
      <c r="A42" s="34" t="s">
        <v>81</v>
      </c>
      <c r="B42" s="40">
        <v>47</v>
      </c>
      <c r="C42" s="130" t="s">
        <v>17</v>
      </c>
      <c r="D42" s="32"/>
      <c r="E42" s="130" t="s">
        <v>17</v>
      </c>
      <c r="F42" s="33">
        <v>48</v>
      </c>
      <c r="G42" s="34" t="s">
        <v>82</v>
      </c>
    </row>
    <row r="43" spans="1:7" s="7" customFormat="1" ht="18" customHeight="1" thickBot="1">
      <c r="A43" s="35"/>
      <c r="B43" s="36"/>
      <c r="C43" s="131"/>
      <c r="D43" s="32"/>
      <c r="E43" s="131"/>
      <c r="F43" s="38"/>
      <c r="G43" s="39"/>
    </row>
    <row r="44" spans="1:7" s="7" customFormat="1" ht="18" customHeight="1" thickBot="1">
      <c r="A44" s="35"/>
      <c r="B44" s="36"/>
      <c r="C44" s="37"/>
      <c r="D44" s="32"/>
      <c r="E44" s="37"/>
      <c r="F44" s="38"/>
      <c r="G44" s="39"/>
    </row>
    <row r="45" spans="1:7" s="7" customFormat="1" ht="18" customHeight="1" thickBot="1">
      <c r="A45" s="34" t="s">
        <v>29</v>
      </c>
      <c r="B45" s="40">
        <v>45</v>
      </c>
      <c r="C45" s="130" t="s">
        <v>17</v>
      </c>
      <c r="D45" s="32"/>
      <c r="E45" s="130" t="s">
        <v>28</v>
      </c>
      <c r="F45" s="33">
        <v>46</v>
      </c>
      <c r="G45" s="34" t="s">
        <v>27</v>
      </c>
    </row>
    <row r="46" spans="1:7" s="7" customFormat="1" ht="18" customHeight="1" thickBot="1">
      <c r="A46" s="35"/>
      <c r="B46" s="36"/>
      <c r="C46" s="131"/>
      <c r="D46" s="32"/>
      <c r="E46" s="131"/>
      <c r="F46" s="38"/>
      <c r="G46" s="39"/>
    </row>
    <row r="47" spans="1:7" s="7" customFormat="1" ht="18" customHeight="1" thickBot="1">
      <c r="A47" s="35"/>
      <c r="B47" s="36"/>
      <c r="C47" s="37"/>
      <c r="D47" s="32"/>
      <c r="E47" s="37"/>
      <c r="F47" s="38"/>
      <c r="G47" s="39"/>
    </row>
    <row r="48" spans="1:7" s="7" customFormat="1" ht="18" customHeight="1" thickBot="1">
      <c r="A48" s="34" t="s">
        <v>80</v>
      </c>
      <c r="B48" s="40">
        <v>44</v>
      </c>
      <c r="C48" s="130" t="s">
        <v>17</v>
      </c>
      <c r="D48" s="32"/>
      <c r="E48" s="130" t="s">
        <v>17</v>
      </c>
      <c r="F48" s="33">
        <v>43</v>
      </c>
      <c r="G48" s="34" t="s">
        <v>79</v>
      </c>
    </row>
    <row r="49" spans="1:7" s="7" customFormat="1" ht="18" customHeight="1" thickBot="1">
      <c r="A49" s="35"/>
      <c r="B49" s="36"/>
      <c r="C49" s="131"/>
      <c r="D49" s="32"/>
      <c r="E49" s="131"/>
      <c r="F49" s="38"/>
      <c r="G49" s="39"/>
    </row>
    <row r="50" spans="1:7" s="7" customFormat="1" ht="18" customHeight="1" thickBot="1">
      <c r="A50" s="35"/>
      <c r="B50" s="36"/>
      <c r="C50" s="37"/>
      <c r="D50" s="32"/>
      <c r="E50" s="37"/>
      <c r="F50" s="38"/>
      <c r="G50" s="39"/>
    </row>
    <row r="51" spans="1:7" s="7" customFormat="1" ht="18" customHeight="1" thickBot="1">
      <c r="A51" s="34" t="s">
        <v>30</v>
      </c>
      <c r="B51" s="40">
        <v>40</v>
      </c>
      <c r="C51" s="130" t="s">
        <v>25</v>
      </c>
      <c r="D51" s="32"/>
      <c r="E51" s="130" t="s">
        <v>17</v>
      </c>
      <c r="F51" s="33">
        <v>42</v>
      </c>
      <c r="G51" s="34" t="s">
        <v>78</v>
      </c>
    </row>
    <row r="52" spans="1:7" s="7" customFormat="1" ht="18" customHeight="1" thickBot="1">
      <c r="A52" s="35"/>
      <c r="B52" s="36"/>
      <c r="C52" s="131"/>
      <c r="D52" s="32"/>
      <c r="E52" s="131"/>
      <c r="F52" s="38"/>
      <c r="G52" s="39"/>
    </row>
    <row r="53" spans="1:7" s="7" customFormat="1" ht="18" customHeight="1" thickBot="1">
      <c r="A53" s="35"/>
      <c r="B53" s="36"/>
      <c r="C53" s="37"/>
      <c r="D53" s="32"/>
      <c r="E53" s="37"/>
      <c r="F53" s="38"/>
      <c r="G53" s="39"/>
    </row>
    <row r="54" spans="1:7" s="7" customFormat="1" ht="18" customHeight="1" thickBot="1">
      <c r="A54" s="34" t="s">
        <v>76</v>
      </c>
      <c r="B54" s="40">
        <v>39</v>
      </c>
      <c r="C54" s="130" t="s">
        <v>17</v>
      </c>
      <c r="D54" s="32"/>
      <c r="E54" s="130" t="s">
        <v>16</v>
      </c>
      <c r="F54" s="33">
        <v>41</v>
      </c>
      <c r="G54" s="30" t="s">
        <v>77</v>
      </c>
    </row>
    <row r="55" spans="1:7" s="7" customFormat="1" ht="18" customHeight="1" thickBot="1">
      <c r="A55" s="35"/>
      <c r="B55" s="36"/>
      <c r="C55" s="131"/>
      <c r="D55" s="32"/>
      <c r="E55" s="131"/>
      <c r="F55" s="38"/>
      <c r="G55" s="39"/>
    </row>
    <row r="56" spans="1:7" s="7" customFormat="1" ht="18" customHeight="1" thickBot="1">
      <c r="A56" s="35"/>
      <c r="B56" s="36"/>
      <c r="C56" s="37"/>
      <c r="D56" s="32"/>
      <c r="E56" s="37"/>
      <c r="F56" s="38"/>
      <c r="G56" s="39"/>
    </row>
    <row r="57" spans="1:7" s="7" customFormat="1" ht="18" customHeight="1" thickBot="1">
      <c r="A57" s="34" t="s">
        <v>31</v>
      </c>
      <c r="B57" s="40">
        <v>37</v>
      </c>
      <c r="C57" s="130" t="s">
        <v>17</v>
      </c>
      <c r="D57" s="32"/>
      <c r="E57" s="130" t="s">
        <v>17</v>
      </c>
      <c r="F57" s="33">
        <v>38</v>
      </c>
      <c r="G57" s="34" t="s">
        <v>76</v>
      </c>
    </row>
    <row r="58" spans="1:7" s="7" customFormat="1" ht="18" customHeight="1" thickBot="1">
      <c r="A58" s="35"/>
      <c r="B58" s="36"/>
      <c r="C58" s="131"/>
      <c r="D58" s="32"/>
      <c r="E58" s="131"/>
      <c r="F58" s="38"/>
      <c r="G58" s="39"/>
    </row>
    <row r="59" spans="1:7" s="7" customFormat="1" ht="18" customHeight="1" thickBot="1">
      <c r="A59" s="35"/>
      <c r="B59" s="36"/>
      <c r="C59" s="37"/>
      <c r="D59" s="32"/>
      <c r="E59" s="37"/>
      <c r="F59" s="38"/>
      <c r="G59" s="39"/>
    </row>
    <row r="60" spans="1:7" s="7" customFormat="1" ht="18" customHeight="1" thickBot="1">
      <c r="A60" s="34" t="s">
        <v>74</v>
      </c>
      <c r="B60" s="40">
        <v>35</v>
      </c>
      <c r="C60" s="130" t="s">
        <v>17</v>
      </c>
      <c r="D60" s="32"/>
      <c r="E60" s="130" t="s">
        <v>17</v>
      </c>
      <c r="F60" s="33">
        <v>36</v>
      </c>
      <c r="G60" s="34" t="s">
        <v>75</v>
      </c>
    </row>
    <row r="61" spans="1:7" s="7" customFormat="1" ht="18" customHeight="1" thickBot="1">
      <c r="A61" s="35"/>
      <c r="B61" s="36"/>
      <c r="C61" s="131"/>
      <c r="D61" s="32"/>
      <c r="E61" s="131"/>
      <c r="F61" s="38"/>
      <c r="G61" s="39"/>
    </row>
    <row r="62" spans="1:7" s="7" customFormat="1" ht="18" customHeight="1" thickBot="1">
      <c r="A62" s="35"/>
      <c r="B62" s="36"/>
      <c r="C62" s="37"/>
      <c r="D62" s="32"/>
      <c r="E62" s="37"/>
      <c r="F62" s="38"/>
      <c r="G62" s="39"/>
    </row>
    <row r="63" spans="1:7" s="7" customFormat="1" ht="18" customHeight="1" thickBot="1">
      <c r="A63" s="34" t="s">
        <v>73</v>
      </c>
      <c r="B63" s="40">
        <v>33</v>
      </c>
      <c r="C63" s="130" t="s">
        <v>17</v>
      </c>
      <c r="D63" s="32"/>
      <c r="E63" s="130" t="s">
        <v>17</v>
      </c>
      <c r="F63" s="33">
        <v>34</v>
      </c>
      <c r="G63" s="34" t="s">
        <v>74</v>
      </c>
    </row>
    <row r="64" spans="1:7" s="7" customFormat="1" ht="18" customHeight="1" thickBot="1">
      <c r="A64" s="35"/>
      <c r="B64" s="36"/>
      <c r="C64" s="131"/>
      <c r="D64" s="32"/>
      <c r="E64" s="131"/>
      <c r="F64" s="38"/>
      <c r="G64" s="39"/>
    </row>
    <row r="65" spans="1:7" s="7" customFormat="1" ht="18" customHeight="1" thickBot="1">
      <c r="A65" s="35"/>
      <c r="B65" s="36"/>
      <c r="C65" s="37"/>
      <c r="D65" s="32"/>
      <c r="E65" s="37"/>
      <c r="F65" s="38"/>
      <c r="G65" s="39"/>
    </row>
    <row r="66" spans="1:7" s="7" customFormat="1" ht="18" customHeight="1" thickBot="1">
      <c r="A66" s="34" t="s">
        <v>72</v>
      </c>
      <c r="B66" s="40">
        <v>31</v>
      </c>
      <c r="C66" s="130" t="s">
        <v>17</v>
      </c>
      <c r="D66" s="32"/>
      <c r="E66" s="130" t="s">
        <v>17</v>
      </c>
      <c r="F66" s="33">
        <v>32</v>
      </c>
      <c r="G66" s="34" t="s">
        <v>73</v>
      </c>
    </row>
    <row r="67" spans="1:7" s="7" customFormat="1" ht="18" customHeight="1" thickBot="1">
      <c r="A67" s="35"/>
      <c r="B67" s="36"/>
      <c r="C67" s="131"/>
      <c r="D67" s="32"/>
      <c r="E67" s="131"/>
      <c r="F67" s="38"/>
      <c r="G67" s="39"/>
    </row>
    <row r="68" spans="1:7" s="7" customFormat="1" ht="18" customHeight="1" thickBot="1">
      <c r="A68" s="35"/>
      <c r="B68" s="36"/>
      <c r="C68" s="37"/>
      <c r="D68" s="32"/>
      <c r="E68" s="37"/>
      <c r="F68" s="38"/>
      <c r="G68" s="39"/>
    </row>
    <row r="69" spans="1:7" s="7" customFormat="1" ht="18" customHeight="1" thickBot="1">
      <c r="A69" s="34" t="s">
        <v>32</v>
      </c>
      <c r="B69" s="40">
        <v>29</v>
      </c>
      <c r="C69" s="130" t="s">
        <v>25</v>
      </c>
      <c r="D69" s="32"/>
      <c r="E69" s="130" t="s">
        <v>17</v>
      </c>
      <c r="F69" s="33">
        <v>30</v>
      </c>
      <c r="G69" s="34" t="s">
        <v>72</v>
      </c>
    </row>
    <row r="70" spans="1:7" s="7" customFormat="1" ht="18" customHeight="1" thickBot="1">
      <c r="A70" s="35"/>
      <c r="B70" s="36"/>
      <c r="C70" s="131"/>
      <c r="D70" s="32"/>
      <c r="E70" s="131"/>
      <c r="F70" s="38"/>
      <c r="G70" s="39"/>
    </row>
    <row r="71" spans="1:7" s="7" customFormat="1" ht="18" customHeight="1" thickBot="1">
      <c r="A71" s="35"/>
      <c r="B71" s="36"/>
      <c r="C71" s="37"/>
      <c r="D71" s="32"/>
      <c r="E71" s="37"/>
      <c r="F71" s="38"/>
      <c r="G71" s="39"/>
    </row>
    <row r="72" spans="1:7" s="7" customFormat="1" ht="18" customHeight="1" thickBot="1">
      <c r="A72" s="34" t="s">
        <v>71</v>
      </c>
      <c r="B72" s="40">
        <v>26</v>
      </c>
      <c r="C72" s="130" t="s">
        <v>25</v>
      </c>
      <c r="D72" s="32"/>
      <c r="E72" s="130" t="s">
        <v>25</v>
      </c>
      <c r="F72" s="31">
        <v>28</v>
      </c>
      <c r="G72" s="34" t="s">
        <v>32</v>
      </c>
    </row>
    <row r="73" spans="1:7" s="7" customFormat="1" ht="18" customHeight="1" thickBot="1">
      <c r="A73" s="35"/>
      <c r="B73" s="36"/>
      <c r="C73" s="131"/>
      <c r="D73" s="32"/>
      <c r="E73" s="131"/>
      <c r="F73" s="38"/>
      <c r="G73" s="39"/>
    </row>
    <row r="74" spans="1:7" s="7" customFormat="1" ht="18" customHeight="1" thickBot="1">
      <c r="A74" s="35"/>
      <c r="B74" s="43"/>
      <c r="C74" s="44"/>
      <c r="D74" s="32"/>
      <c r="E74" s="44"/>
      <c r="F74" s="38"/>
      <c r="G74" s="39"/>
    </row>
    <row r="75" spans="1:7" s="7" customFormat="1" ht="18" customHeight="1" thickBot="1">
      <c r="A75" s="34" t="s">
        <v>69</v>
      </c>
      <c r="B75" s="40">
        <v>24</v>
      </c>
      <c r="C75" s="130" t="s">
        <v>17</v>
      </c>
      <c r="D75" s="32"/>
      <c r="E75" s="130" t="s">
        <v>25</v>
      </c>
      <c r="F75" s="33">
        <v>27</v>
      </c>
      <c r="G75" s="34" t="s">
        <v>32</v>
      </c>
    </row>
    <row r="76" spans="1:7" s="7" customFormat="1" ht="18" customHeight="1" thickBot="1">
      <c r="A76" s="35"/>
      <c r="B76" s="36"/>
      <c r="C76" s="131"/>
      <c r="D76" s="32"/>
      <c r="E76" s="131"/>
      <c r="F76" s="146"/>
      <c r="G76" s="147"/>
    </row>
    <row r="77" spans="1:7" s="7" customFormat="1" ht="18" customHeight="1" thickBot="1">
      <c r="A77" s="35"/>
      <c r="B77" s="36"/>
      <c r="C77" s="44"/>
      <c r="D77" s="32"/>
      <c r="E77" s="44"/>
      <c r="F77" s="146"/>
      <c r="G77" s="147"/>
    </row>
    <row r="78" spans="1:7" s="7" customFormat="1" ht="18" customHeight="1" thickBot="1">
      <c r="A78" s="34" t="s">
        <v>67</v>
      </c>
      <c r="B78" s="40">
        <v>22</v>
      </c>
      <c r="C78" s="130" t="s">
        <v>19</v>
      </c>
      <c r="D78" s="32"/>
      <c r="E78" s="130" t="s">
        <v>25</v>
      </c>
      <c r="F78" s="33">
        <v>25</v>
      </c>
      <c r="G78" s="34" t="s">
        <v>70</v>
      </c>
    </row>
    <row r="79" spans="1:7" s="7" customFormat="1" ht="18" customHeight="1" thickBot="1">
      <c r="A79" s="35"/>
      <c r="B79" s="36"/>
      <c r="C79" s="131"/>
      <c r="D79" s="32"/>
      <c r="E79" s="131"/>
      <c r="F79" s="146"/>
      <c r="G79" s="147"/>
    </row>
    <row r="80" spans="1:7" s="7" customFormat="1" ht="18" customHeight="1" thickBot="1">
      <c r="A80" s="35"/>
      <c r="B80" s="36"/>
      <c r="C80" s="44"/>
      <c r="D80" s="32"/>
      <c r="E80" s="44"/>
      <c r="F80" s="146"/>
      <c r="G80" s="147"/>
    </row>
    <row r="81" spans="1:8" s="7" customFormat="1" ht="18" customHeight="1" thickBot="1">
      <c r="A81" s="34" t="s">
        <v>65</v>
      </c>
      <c r="B81" s="40">
        <v>20</v>
      </c>
      <c r="C81" s="130" t="s">
        <v>17</v>
      </c>
      <c r="D81" s="32"/>
      <c r="E81" s="130" t="s">
        <v>17</v>
      </c>
      <c r="F81" s="33">
        <v>23</v>
      </c>
      <c r="G81" s="34" t="s">
        <v>68</v>
      </c>
    </row>
    <row r="82" spans="1:8" s="7" customFormat="1" ht="18" customHeight="1" thickBot="1">
      <c r="A82" s="35"/>
      <c r="B82" s="36"/>
      <c r="C82" s="131"/>
      <c r="D82" s="32"/>
      <c r="E82" s="131"/>
      <c r="F82" s="146"/>
      <c r="G82" s="147"/>
    </row>
    <row r="83" spans="1:8" s="7" customFormat="1" ht="18" customHeight="1" thickBot="1">
      <c r="A83" s="35"/>
      <c r="B83" s="36"/>
      <c r="C83" s="44"/>
      <c r="D83" s="32"/>
      <c r="E83" s="44"/>
      <c r="F83" s="146"/>
      <c r="G83" s="147"/>
    </row>
    <row r="84" spans="1:8" s="7" customFormat="1" ht="18" customHeight="1" thickBot="1">
      <c r="A84" s="34" t="s">
        <v>64</v>
      </c>
      <c r="B84" s="40">
        <v>19</v>
      </c>
      <c r="C84" s="130" t="s">
        <v>22</v>
      </c>
      <c r="D84" s="32"/>
      <c r="E84" s="130" t="s">
        <v>17</v>
      </c>
      <c r="F84" s="33">
        <v>21</v>
      </c>
      <c r="G84" s="34" t="s">
        <v>66</v>
      </c>
    </row>
    <row r="85" spans="1:8" s="7" customFormat="1" ht="18" customHeight="1" thickBot="1">
      <c r="A85" s="45"/>
      <c r="B85" s="46"/>
      <c r="C85" s="131"/>
      <c r="D85" s="32"/>
      <c r="E85" s="131"/>
      <c r="F85" s="146"/>
      <c r="G85" s="147"/>
      <c r="H85" s="47"/>
    </row>
    <row r="86" spans="1:8" s="7" customFormat="1" ht="18" customHeight="1" thickBot="1">
      <c r="A86" s="45"/>
      <c r="B86" s="46"/>
      <c r="C86" s="48"/>
      <c r="D86" s="32"/>
      <c r="E86" s="44"/>
      <c r="F86" s="146"/>
      <c r="G86" s="147"/>
      <c r="H86" s="47"/>
    </row>
    <row r="87" spans="1:8" s="50" customFormat="1" ht="18" customHeight="1" thickBot="1">
      <c r="A87" s="34" t="s">
        <v>62</v>
      </c>
      <c r="B87" s="40">
        <v>17</v>
      </c>
      <c r="C87" s="130" t="s">
        <v>19</v>
      </c>
      <c r="D87" s="49"/>
      <c r="E87" s="144" t="s">
        <v>17</v>
      </c>
      <c r="F87" s="33">
        <v>18</v>
      </c>
      <c r="G87" s="34" t="s">
        <v>63</v>
      </c>
    </row>
    <row r="88" spans="1:8" s="50" customFormat="1" ht="18" customHeight="1" thickBot="1">
      <c r="A88" s="51"/>
      <c r="B88" s="52"/>
      <c r="C88" s="131"/>
      <c r="D88" s="49"/>
      <c r="E88" s="145"/>
      <c r="F88" s="53"/>
      <c r="G88" s="54"/>
    </row>
    <row r="89" spans="1:8" s="50" customFormat="1" ht="18" customHeight="1" thickBot="1">
      <c r="A89" s="55"/>
      <c r="B89" s="52"/>
      <c r="C89" s="56"/>
      <c r="D89" s="49"/>
      <c r="E89" s="57"/>
      <c r="F89" s="58"/>
      <c r="G89" s="59"/>
    </row>
    <row r="90" spans="1:8" s="50" customFormat="1" ht="18" customHeight="1" thickBot="1">
      <c r="A90" s="34" t="s">
        <v>61</v>
      </c>
      <c r="B90" s="40">
        <v>16</v>
      </c>
      <c r="C90" s="130" t="s">
        <v>26</v>
      </c>
      <c r="D90" s="49"/>
      <c r="E90" s="130" t="s">
        <v>25</v>
      </c>
      <c r="F90" s="33">
        <v>15</v>
      </c>
      <c r="G90" s="34" t="s">
        <v>60</v>
      </c>
    </row>
    <row r="91" spans="1:8" s="50" customFormat="1" ht="18" customHeight="1" thickBot="1">
      <c r="A91" s="51"/>
      <c r="B91" s="60"/>
      <c r="C91" s="131"/>
      <c r="D91" s="49"/>
      <c r="E91" s="131"/>
      <c r="F91" s="58"/>
      <c r="G91" s="59"/>
    </row>
    <row r="92" spans="1:8" s="50" customFormat="1" ht="18" customHeight="1" thickBot="1">
      <c r="A92" s="55"/>
      <c r="B92" s="60"/>
      <c r="C92" s="56"/>
      <c r="D92" s="49"/>
      <c r="E92" s="57"/>
      <c r="F92" s="58"/>
      <c r="G92" s="59"/>
    </row>
    <row r="93" spans="1:8" s="50" customFormat="1" ht="18" customHeight="1" thickBot="1">
      <c r="A93" s="34" t="s">
        <v>57</v>
      </c>
      <c r="B93" s="40">
        <v>12</v>
      </c>
      <c r="C93" s="130" t="s">
        <v>19</v>
      </c>
      <c r="D93" s="49"/>
      <c r="E93" s="130" t="s">
        <v>17</v>
      </c>
      <c r="F93" s="61">
        <v>14</v>
      </c>
      <c r="G93" s="34" t="s">
        <v>59</v>
      </c>
    </row>
    <row r="94" spans="1:8" s="50" customFormat="1" ht="18" customHeight="1" thickBot="1">
      <c r="A94" s="51"/>
      <c r="B94" s="60"/>
      <c r="C94" s="131"/>
      <c r="D94" s="49"/>
      <c r="E94" s="131"/>
      <c r="F94" s="62"/>
      <c r="G94" s="59"/>
    </row>
    <row r="95" spans="1:8" s="50" customFormat="1" ht="18" customHeight="1" thickBot="1">
      <c r="A95" s="51"/>
      <c r="B95" s="60"/>
      <c r="C95" s="63"/>
      <c r="D95" s="49"/>
      <c r="E95" s="64"/>
      <c r="F95" s="60"/>
      <c r="G95" s="59"/>
    </row>
    <row r="96" spans="1:8" s="50" customFormat="1" ht="18" customHeight="1" thickBot="1">
      <c r="A96" s="34" t="s">
        <v>56</v>
      </c>
      <c r="B96" s="40">
        <v>11</v>
      </c>
      <c r="C96" s="130" t="s">
        <v>17</v>
      </c>
      <c r="D96" s="49"/>
      <c r="E96" s="130" t="s">
        <v>17</v>
      </c>
      <c r="F96" s="65">
        <v>13</v>
      </c>
      <c r="G96" s="34" t="s">
        <v>58</v>
      </c>
    </row>
    <row r="97" spans="1:9" s="50" customFormat="1" ht="18" customHeight="1" thickBot="1">
      <c r="A97" s="66"/>
      <c r="B97" s="58"/>
      <c r="C97" s="131"/>
      <c r="D97" s="49"/>
      <c r="E97" s="131"/>
      <c r="F97" s="60"/>
      <c r="G97" s="132"/>
    </row>
    <row r="98" spans="1:9" s="50" customFormat="1" ht="18" customHeight="1" thickBot="1">
      <c r="A98" s="67"/>
      <c r="B98" s="60"/>
      <c r="C98" s="143" t="s">
        <v>54</v>
      </c>
      <c r="D98" s="143"/>
      <c r="E98" s="143"/>
      <c r="F98" s="60"/>
      <c r="G98" s="133"/>
    </row>
    <row r="99" spans="1:9" s="50" customFormat="1" ht="18" customHeight="1" thickBot="1">
      <c r="A99" s="34" t="s">
        <v>52</v>
      </c>
      <c r="B99" s="40">
        <v>8</v>
      </c>
      <c r="C99" s="130" t="s">
        <v>25</v>
      </c>
      <c r="D99" s="49"/>
      <c r="E99" s="130" t="s">
        <v>25</v>
      </c>
      <c r="F99" s="65">
        <v>10</v>
      </c>
      <c r="G99" s="34" t="s">
        <v>55</v>
      </c>
    </row>
    <row r="100" spans="1:9" s="50" customFormat="1" ht="18" customHeight="1">
      <c r="A100" s="68"/>
      <c r="B100" s="52"/>
      <c r="C100" s="134"/>
      <c r="D100" s="49"/>
      <c r="E100" s="134"/>
      <c r="F100" s="69"/>
      <c r="G100" s="70"/>
    </row>
    <row r="101" spans="1:9" s="50" customFormat="1" ht="18" customHeight="1" thickBot="1">
      <c r="A101" s="68"/>
      <c r="B101" s="52"/>
      <c r="C101" s="142"/>
      <c r="D101" s="142"/>
      <c r="E101" s="142"/>
      <c r="F101" s="69"/>
      <c r="G101" s="70"/>
    </row>
    <row r="102" spans="1:9" s="50" customFormat="1" ht="18" customHeight="1" thickBot="1">
      <c r="A102" s="34" t="s">
        <v>33</v>
      </c>
      <c r="B102" s="71">
        <v>7</v>
      </c>
      <c r="C102" s="134" t="s">
        <v>17</v>
      </c>
      <c r="D102" s="49"/>
      <c r="E102" s="134" t="s">
        <v>25</v>
      </c>
      <c r="F102" s="65">
        <v>9</v>
      </c>
      <c r="G102" s="34" t="s">
        <v>53</v>
      </c>
    </row>
    <row r="103" spans="1:9" s="50" customFormat="1" ht="18" customHeight="1" thickBot="1">
      <c r="A103" s="72"/>
      <c r="B103" s="58"/>
      <c r="C103" s="131"/>
      <c r="D103" s="49"/>
      <c r="E103" s="131"/>
      <c r="F103" s="69"/>
      <c r="G103" s="73"/>
    </row>
    <row r="104" spans="1:9" s="50" customFormat="1" ht="18" customHeight="1" thickBot="1">
      <c r="A104" s="72"/>
      <c r="B104" s="58"/>
      <c r="C104" s="63"/>
      <c r="D104" s="49"/>
      <c r="E104" s="64"/>
      <c r="F104" s="60"/>
      <c r="G104" s="74"/>
    </row>
    <row r="105" spans="1:9" s="50" customFormat="1" ht="18" customHeight="1" thickBot="1">
      <c r="A105" s="34" t="s">
        <v>33</v>
      </c>
      <c r="B105" s="71">
        <v>6</v>
      </c>
      <c r="C105" s="130" t="s">
        <v>17</v>
      </c>
      <c r="D105" s="49"/>
      <c r="E105" s="130" t="s">
        <v>19</v>
      </c>
      <c r="F105" s="75">
        <v>5</v>
      </c>
      <c r="G105" s="34" t="s">
        <v>51</v>
      </c>
    </row>
    <row r="106" spans="1:9" s="50" customFormat="1" ht="18" customHeight="1" thickBot="1">
      <c r="A106" s="76"/>
      <c r="B106" s="58"/>
      <c r="C106" s="131"/>
      <c r="D106" s="49"/>
      <c r="E106" s="131"/>
      <c r="F106" s="77"/>
      <c r="G106" s="54"/>
    </row>
    <row r="107" spans="1:9" s="50" customFormat="1" ht="18" customHeight="1" thickBot="1">
      <c r="A107" s="55"/>
      <c r="B107" s="58"/>
      <c r="C107" s="78"/>
      <c r="D107" s="79"/>
      <c r="E107" s="80"/>
      <c r="F107" s="81"/>
      <c r="G107" s="59"/>
      <c r="I107" s="82"/>
    </row>
    <row r="108" spans="1:9" s="50" customFormat="1" ht="18" customHeight="1" thickBot="1">
      <c r="A108" s="34" t="s">
        <v>34</v>
      </c>
      <c r="B108" s="71">
        <v>3</v>
      </c>
      <c r="C108" s="130" t="s">
        <v>17</v>
      </c>
      <c r="D108" s="49"/>
      <c r="E108" s="130" t="s">
        <v>17</v>
      </c>
      <c r="F108" s="75">
        <v>4</v>
      </c>
      <c r="G108" s="34" t="s">
        <v>35</v>
      </c>
    </row>
    <row r="109" spans="1:9" s="50" customFormat="1" ht="18" customHeight="1" thickBot="1">
      <c r="A109" s="76"/>
      <c r="B109" s="53"/>
      <c r="C109" s="131"/>
      <c r="D109" s="49"/>
      <c r="E109" s="131"/>
      <c r="F109" s="77"/>
      <c r="G109" s="54"/>
    </row>
    <row r="110" spans="1:9" s="7" customFormat="1" ht="18" customHeight="1" thickBot="1">
      <c r="A110" s="55"/>
      <c r="B110" s="60"/>
      <c r="C110" s="83"/>
      <c r="D110" s="49"/>
      <c r="E110" s="83"/>
      <c r="F110" s="52"/>
      <c r="G110" s="59"/>
    </row>
    <row r="111" spans="1:9" s="7" customFormat="1" ht="18" customHeight="1" thickBot="1">
      <c r="A111" s="34" t="s">
        <v>50</v>
      </c>
      <c r="B111" s="84">
        <v>1</v>
      </c>
      <c r="C111" s="130" t="s">
        <v>25</v>
      </c>
      <c r="D111" s="85"/>
      <c r="E111" s="130" t="s">
        <v>25</v>
      </c>
      <c r="F111" s="75">
        <v>2</v>
      </c>
      <c r="G111" s="34" t="s">
        <v>50</v>
      </c>
    </row>
    <row r="112" spans="1:9" s="7" customFormat="1" ht="18" customHeight="1" thickBot="1">
      <c r="A112" s="68"/>
      <c r="B112" s="86"/>
      <c r="C112" s="131"/>
      <c r="D112" s="85"/>
      <c r="E112" s="131"/>
      <c r="F112" s="87"/>
      <c r="G112" s="70"/>
    </row>
    <row r="113" spans="1:7" s="7" customFormat="1" ht="18" customHeight="1" thickBot="1">
      <c r="A113" s="76"/>
      <c r="B113" s="53"/>
      <c r="C113" s="83"/>
      <c r="D113" s="85"/>
      <c r="E113" s="83"/>
      <c r="F113" s="77"/>
      <c r="G113" s="54"/>
    </row>
    <row r="114" spans="1:7" s="7" customFormat="1" ht="20.25" customHeight="1" thickBot="1">
      <c r="A114" s="88"/>
      <c r="B114" s="89"/>
      <c r="C114" s="135" t="s">
        <v>36</v>
      </c>
      <c r="D114" s="136"/>
      <c r="E114" s="137"/>
      <c r="F114" s="90"/>
      <c r="G114" s="91"/>
    </row>
    <row r="115" spans="1:7" s="7" customFormat="1" ht="20.25" customHeight="1" thickBot="1">
      <c r="A115" s="92"/>
      <c r="B115" s="93"/>
      <c r="C115" s="138"/>
      <c r="D115" s="139"/>
      <c r="E115" s="140"/>
      <c r="F115" s="93"/>
      <c r="G115" s="94" t="s">
        <v>37</v>
      </c>
    </row>
    <row r="116" spans="1:7" s="7" customFormat="1" ht="20.25" customHeight="1">
      <c r="A116" s="95"/>
      <c r="B116" s="96"/>
      <c r="C116" s="96"/>
      <c r="D116" s="96"/>
      <c r="E116" s="96"/>
      <c r="F116" s="96"/>
      <c r="G116" s="97" t="s">
        <v>101</v>
      </c>
    </row>
    <row r="117" spans="1:7" s="7" customFormat="1" ht="20.25" customHeight="1">
      <c r="A117" s="98" t="s">
        <v>38</v>
      </c>
      <c r="B117" s="99"/>
      <c r="C117" s="100"/>
      <c r="D117" s="100"/>
      <c r="E117" s="100"/>
      <c r="F117" s="100"/>
      <c r="G117" s="97" t="s">
        <v>39</v>
      </c>
    </row>
    <row r="118" spans="1:7" s="7" customFormat="1" ht="20.25" customHeight="1">
      <c r="A118" s="101"/>
      <c r="B118" s="100"/>
      <c r="C118" s="100"/>
      <c r="D118" s="141"/>
      <c r="E118" s="100"/>
      <c r="F118" s="100"/>
      <c r="G118" s="97" t="s">
        <v>105</v>
      </c>
    </row>
    <row r="119" spans="1:7" s="7" customFormat="1" ht="20.25" customHeight="1">
      <c r="A119" s="98" t="s">
        <v>40</v>
      </c>
      <c r="B119" s="102"/>
      <c r="C119" s="100"/>
      <c r="D119" s="141"/>
      <c r="E119" s="100"/>
      <c r="F119" s="100"/>
      <c r="G119" s="97" t="s">
        <v>41</v>
      </c>
    </row>
    <row r="120" spans="1:7" s="7" customFormat="1" ht="20.25" customHeight="1">
      <c r="A120" s="101"/>
      <c r="B120" s="100"/>
      <c r="C120" s="100"/>
      <c r="D120" s="100"/>
      <c r="E120" s="100"/>
      <c r="F120" s="100"/>
      <c r="G120" s="97" t="s">
        <v>103</v>
      </c>
    </row>
    <row r="121" spans="1:7" s="7" customFormat="1" ht="20.25" customHeight="1">
      <c r="A121" s="101"/>
      <c r="B121" s="100"/>
      <c r="C121" s="100"/>
      <c r="D121" s="100"/>
      <c r="E121" s="100"/>
      <c r="F121" s="100"/>
      <c r="G121" s="97" t="s">
        <v>106</v>
      </c>
    </row>
    <row r="122" spans="1:7" s="7" customFormat="1" ht="20.25" customHeight="1">
      <c r="A122" s="103"/>
      <c r="B122" s="104" t="s">
        <v>42</v>
      </c>
      <c r="C122" s="104"/>
      <c r="D122" s="104"/>
      <c r="E122" s="104" t="s">
        <v>43</v>
      </c>
      <c r="F122" s="100"/>
      <c r="G122" s="97" t="s">
        <v>44</v>
      </c>
    </row>
    <row r="123" spans="1:7" s="7" customFormat="1" ht="20.25" customHeight="1">
      <c r="A123" s="103"/>
      <c r="B123" s="104"/>
      <c r="C123" s="104"/>
      <c r="D123" s="104"/>
      <c r="E123" s="104"/>
      <c r="F123" s="100"/>
      <c r="G123" s="97" t="s">
        <v>45</v>
      </c>
    </row>
    <row r="124" spans="1:7" s="7" customFormat="1" ht="20.25" customHeight="1" thickBot="1">
      <c r="A124" s="103"/>
      <c r="B124" s="104" t="s">
        <v>46</v>
      </c>
      <c r="C124" s="104"/>
      <c r="D124" s="104"/>
      <c r="E124" s="104" t="s">
        <v>47</v>
      </c>
      <c r="F124" s="100"/>
      <c r="G124" s="97" t="s">
        <v>104</v>
      </c>
    </row>
    <row r="125" spans="1:7" s="7" customFormat="1" ht="20.25" customHeight="1" thickBot="1">
      <c r="A125" s="103"/>
      <c r="B125" s="104"/>
      <c r="C125" s="104"/>
      <c r="D125" s="104"/>
      <c r="E125" s="104"/>
      <c r="F125" s="100"/>
      <c r="G125" s="105" t="s">
        <v>102</v>
      </c>
    </row>
    <row r="126" spans="1:7" s="7" customFormat="1" ht="20.25" customHeight="1">
      <c r="A126" s="106"/>
      <c r="B126" s="107"/>
      <c r="C126" s="128"/>
      <c r="D126" s="128"/>
      <c r="E126" s="128"/>
      <c r="F126" s="104"/>
      <c r="G126" s="108" t="s">
        <v>48</v>
      </c>
    </row>
    <row r="127" spans="1:7" s="7" customFormat="1" ht="20.25" customHeight="1" thickBot="1">
      <c r="A127" s="109"/>
      <c r="B127" s="110"/>
      <c r="C127" s="129"/>
      <c r="D127" s="129"/>
      <c r="E127" s="129"/>
      <c r="F127" s="111"/>
      <c r="G127" s="112" t="s">
        <v>49</v>
      </c>
    </row>
    <row r="128" spans="1:7" ht="34.5">
      <c r="A128" s="113"/>
      <c r="B128" s="114"/>
      <c r="C128" s="114"/>
      <c r="D128" s="115"/>
      <c r="E128" s="115"/>
      <c r="F128" s="115"/>
      <c r="G128" s="116"/>
    </row>
    <row r="129" spans="1:7">
      <c r="A129" s="118"/>
      <c r="B129" s="116"/>
      <c r="C129" s="116"/>
      <c r="D129" s="116"/>
      <c r="E129" s="116"/>
      <c r="F129" s="116"/>
      <c r="G129" s="116"/>
    </row>
    <row r="132" spans="1:7">
      <c r="G132" s="117">
        <f>54+1+8+3+5+5</f>
        <v>76</v>
      </c>
    </row>
    <row r="133" spans="1:7" ht="27.75">
      <c r="G133" s="120"/>
    </row>
  </sheetData>
  <mergeCells count="90">
    <mergeCell ref="C10:C11"/>
    <mergeCell ref="E10:E11"/>
    <mergeCell ref="A1:G1"/>
    <mergeCell ref="D2:E2"/>
    <mergeCell ref="C5:E5"/>
    <mergeCell ref="C6:E6"/>
    <mergeCell ref="C8:C9"/>
    <mergeCell ref="E8:E9"/>
    <mergeCell ref="C16:C17"/>
    <mergeCell ref="E16:E17"/>
    <mergeCell ref="C14:C15"/>
    <mergeCell ref="E14:E15"/>
    <mergeCell ref="C12:C13"/>
    <mergeCell ref="E12:E13"/>
    <mergeCell ref="C18:C19"/>
    <mergeCell ref="E18:E19"/>
    <mergeCell ref="C21:C22"/>
    <mergeCell ref="E21:E22"/>
    <mergeCell ref="C24:C25"/>
    <mergeCell ref="E24:E25"/>
    <mergeCell ref="C27:C28"/>
    <mergeCell ref="E27:E28"/>
    <mergeCell ref="C30:C31"/>
    <mergeCell ref="E30:E31"/>
    <mergeCell ref="C33:C34"/>
    <mergeCell ref="E33:E34"/>
    <mergeCell ref="C36:C37"/>
    <mergeCell ref="E36:E37"/>
    <mergeCell ref="C39:C40"/>
    <mergeCell ref="E39:E40"/>
    <mergeCell ref="C42:C43"/>
    <mergeCell ref="E42:E43"/>
    <mergeCell ref="C45:C46"/>
    <mergeCell ref="E45:E46"/>
    <mergeCell ref="C48:C49"/>
    <mergeCell ref="E48:E49"/>
    <mergeCell ref="C51:C52"/>
    <mergeCell ref="E51:E52"/>
    <mergeCell ref="C54:C55"/>
    <mergeCell ref="E54:E55"/>
    <mergeCell ref="C57:C58"/>
    <mergeCell ref="E57:E58"/>
    <mergeCell ref="C60:C61"/>
    <mergeCell ref="E60:E61"/>
    <mergeCell ref="C78:C79"/>
    <mergeCell ref="E78:E79"/>
    <mergeCell ref="F79:G79"/>
    <mergeCell ref="C63:C64"/>
    <mergeCell ref="E63:E64"/>
    <mergeCell ref="C66:C67"/>
    <mergeCell ref="E66:E67"/>
    <mergeCell ref="C69:C70"/>
    <mergeCell ref="E69:E70"/>
    <mergeCell ref="C72:C73"/>
    <mergeCell ref="E72:E73"/>
    <mergeCell ref="C75:C76"/>
    <mergeCell ref="E75:E76"/>
    <mergeCell ref="F76:G77"/>
    <mergeCell ref="F80:G80"/>
    <mergeCell ref="C81:C82"/>
    <mergeCell ref="E81:E82"/>
    <mergeCell ref="F82:G83"/>
    <mergeCell ref="C84:C85"/>
    <mergeCell ref="E84:E85"/>
    <mergeCell ref="F85:G86"/>
    <mergeCell ref="C87:C88"/>
    <mergeCell ref="E87:E88"/>
    <mergeCell ref="C90:C91"/>
    <mergeCell ref="E90:E91"/>
    <mergeCell ref="C93:C94"/>
    <mergeCell ref="E93:E94"/>
    <mergeCell ref="G97:G98"/>
    <mergeCell ref="C99:C100"/>
    <mergeCell ref="E99:E100"/>
    <mergeCell ref="C114:E115"/>
    <mergeCell ref="D118:D119"/>
    <mergeCell ref="C102:C103"/>
    <mergeCell ref="E102:E103"/>
    <mergeCell ref="C96:C97"/>
    <mergeCell ref="E96:E97"/>
    <mergeCell ref="C101:E101"/>
    <mergeCell ref="C98:E98"/>
    <mergeCell ref="C126:E126"/>
    <mergeCell ref="C127:E127"/>
    <mergeCell ref="C105:C106"/>
    <mergeCell ref="E105:E106"/>
    <mergeCell ref="C108:C109"/>
    <mergeCell ref="E108:E109"/>
    <mergeCell ref="C111:C112"/>
    <mergeCell ref="E111:E112"/>
  </mergeCells>
  <pageMargins left="0" right="0" top="0" bottom="0" header="0" footer="0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7"/>
  <sheetViews>
    <sheetView tabSelected="1" topLeftCell="A82" zoomScale="98" zoomScaleNormal="98" workbookViewId="0">
      <selection activeCell="J115" sqref="J115"/>
    </sheetView>
  </sheetViews>
  <sheetFormatPr defaultRowHeight="15"/>
  <cols>
    <col min="1" max="1" width="52.28515625" style="119" customWidth="1"/>
    <col min="2" max="2" width="16.7109375" style="117" customWidth="1"/>
    <col min="3" max="3" width="11.28515625" style="117" customWidth="1"/>
    <col min="4" max="4" width="4.42578125" style="117" customWidth="1"/>
    <col min="5" max="5" width="11.28515625" style="117" customWidth="1"/>
    <col min="6" max="6" width="16.7109375" style="117" customWidth="1"/>
    <col min="7" max="7" width="52.28515625" style="117" customWidth="1"/>
    <col min="8" max="14" width="9.140625" style="117"/>
    <col min="15" max="15" width="17.7109375" style="117" bestFit="1" customWidth="1"/>
    <col min="16" max="16384" width="9.140625" style="117"/>
  </cols>
  <sheetData>
    <row r="1" spans="1:7" s="1" customFormat="1" ht="22.5" customHeight="1" thickBot="1">
      <c r="A1" s="148" t="s">
        <v>0</v>
      </c>
      <c r="B1" s="149"/>
      <c r="C1" s="149"/>
      <c r="D1" s="149"/>
      <c r="E1" s="149"/>
      <c r="F1" s="149"/>
      <c r="G1" s="150"/>
    </row>
    <row r="2" spans="1:7" s="7" customFormat="1" ht="18" customHeight="1" thickBot="1">
      <c r="A2" s="2" t="s">
        <v>1</v>
      </c>
      <c r="B2" s="3" t="s">
        <v>2</v>
      </c>
      <c r="C2" s="4" t="s">
        <v>3</v>
      </c>
      <c r="D2" s="125">
        <v>6</v>
      </c>
      <c r="E2" s="124"/>
      <c r="F2" s="5" t="s">
        <v>4</v>
      </c>
      <c r="G2" s="6">
        <v>45</v>
      </c>
    </row>
    <row r="3" spans="1:7" s="7" customFormat="1" ht="18" customHeight="1" thickBot="1">
      <c r="A3" s="8" t="s">
        <v>5</v>
      </c>
      <c r="B3" s="9">
        <v>100225286</v>
      </c>
      <c r="C3" s="10"/>
      <c r="D3" s="10"/>
      <c r="E3" s="10"/>
      <c r="F3" s="11" t="s">
        <v>6</v>
      </c>
      <c r="G3" s="12">
        <v>26.45</v>
      </c>
    </row>
    <row r="4" spans="1:7" s="7" customFormat="1" ht="18" customHeight="1" thickBot="1">
      <c r="A4" s="13" t="s">
        <v>7</v>
      </c>
      <c r="B4" s="14" t="s">
        <v>113</v>
      </c>
      <c r="C4" s="15"/>
      <c r="D4" s="15"/>
      <c r="E4" s="16"/>
      <c r="F4" s="17" t="s">
        <v>9</v>
      </c>
      <c r="G4" s="18">
        <v>62</v>
      </c>
    </row>
    <row r="5" spans="1:7" s="7" customFormat="1" ht="18" customHeight="1" thickBot="1">
      <c r="A5" s="19" t="s">
        <v>10</v>
      </c>
      <c r="B5" s="15">
        <v>6250</v>
      </c>
      <c r="C5" s="153" t="s">
        <v>11</v>
      </c>
      <c r="D5" s="154"/>
      <c r="E5" s="155"/>
      <c r="F5" s="20" t="s">
        <v>109</v>
      </c>
      <c r="G5" s="21">
        <f>((G2*60)/G3)*60%</f>
        <v>61.247637051039696</v>
      </c>
    </row>
    <row r="6" spans="1:7" s="7" customFormat="1" ht="18" customHeight="1" thickBot="1">
      <c r="A6" s="22"/>
      <c r="B6" s="23"/>
      <c r="C6" s="156"/>
      <c r="D6" s="156"/>
      <c r="E6" s="156"/>
      <c r="F6" s="23"/>
      <c r="G6" s="24"/>
    </row>
    <row r="7" spans="1:7" s="7" customFormat="1" ht="32.25" customHeight="1" thickBot="1">
      <c r="A7" s="25" t="s">
        <v>13</v>
      </c>
      <c r="B7" s="26" t="s">
        <v>14</v>
      </c>
      <c r="C7" s="27" t="s">
        <v>15</v>
      </c>
      <c r="D7" s="28"/>
      <c r="E7" s="27" t="s">
        <v>15</v>
      </c>
      <c r="F7" s="29" t="s">
        <v>14</v>
      </c>
      <c r="G7" s="25" t="s">
        <v>13</v>
      </c>
    </row>
    <row r="8" spans="1:7" s="7" customFormat="1" ht="18" customHeight="1" thickBot="1">
      <c r="A8" s="35"/>
      <c r="B8" s="36"/>
      <c r="C8" s="126"/>
      <c r="D8" s="32"/>
      <c r="E8" s="126"/>
      <c r="F8" s="38"/>
      <c r="G8" s="39"/>
    </row>
    <row r="9" spans="1:7" s="7" customFormat="1" ht="18" customHeight="1" thickBot="1">
      <c r="A9" s="34"/>
      <c r="B9" s="31"/>
      <c r="C9" s="130"/>
      <c r="D9" s="32"/>
      <c r="E9" s="130" t="s">
        <v>17</v>
      </c>
      <c r="F9" s="33">
        <v>62</v>
      </c>
      <c r="G9" s="34" t="s">
        <v>177</v>
      </c>
    </row>
    <row r="10" spans="1:7" s="7" customFormat="1" ht="18" customHeight="1" thickBot="1">
      <c r="A10" s="35"/>
      <c r="B10" s="36"/>
      <c r="C10" s="131"/>
      <c r="D10" s="32"/>
      <c r="E10" s="131"/>
      <c r="F10" s="38"/>
      <c r="G10" s="39"/>
    </row>
    <row r="11" spans="1:7" s="7" customFormat="1" ht="18" customHeight="1" thickBot="1">
      <c r="A11" s="35"/>
      <c r="B11" s="36"/>
      <c r="C11" s="126"/>
      <c r="D11" s="32"/>
      <c r="E11" s="126"/>
      <c r="F11" s="38"/>
      <c r="G11" s="39"/>
    </row>
    <row r="12" spans="1:7" s="7" customFormat="1" ht="18" customHeight="1" thickBot="1">
      <c r="A12" s="34" t="s">
        <v>111</v>
      </c>
      <c r="B12" s="31">
        <v>63</v>
      </c>
      <c r="C12" s="130" t="s">
        <v>16</v>
      </c>
      <c r="D12" s="32"/>
      <c r="E12" s="130" t="s">
        <v>176</v>
      </c>
      <c r="F12" s="33">
        <v>61</v>
      </c>
      <c r="G12" s="34" t="s">
        <v>175</v>
      </c>
    </row>
    <row r="13" spans="1:7" s="7" customFormat="1" ht="18" customHeight="1" thickBot="1">
      <c r="A13" s="35"/>
      <c r="B13" s="36"/>
      <c r="C13" s="131"/>
      <c r="D13" s="32"/>
      <c r="E13" s="131"/>
      <c r="F13" s="38"/>
      <c r="G13" s="39"/>
    </row>
    <row r="14" spans="1:7" s="7" customFormat="1" ht="18" customHeight="1" thickBot="1">
      <c r="A14" s="35"/>
      <c r="B14" s="36"/>
      <c r="C14" s="126"/>
      <c r="D14" s="32"/>
      <c r="E14" s="126"/>
      <c r="F14" s="38"/>
      <c r="G14" s="39"/>
    </row>
    <row r="15" spans="1:7" s="7" customFormat="1" ht="18" customHeight="1" thickBot="1">
      <c r="A15" s="34" t="s">
        <v>174</v>
      </c>
      <c r="B15" s="31">
        <v>64</v>
      </c>
      <c r="C15" s="130" t="s">
        <v>17</v>
      </c>
      <c r="D15" s="32"/>
      <c r="E15" s="130" t="s">
        <v>19</v>
      </c>
      <c r="F15" s="33">
        <v>60</v>
      </c>
      <c r="G15" s="34" t="s">
        <v>172</v>
      </c>
    </row>
    <row r="16" spans="1:7" s="7" customFormat="1" ht="18" customHeight="1" thickBot="1">
      <c r="A16" s="35"/>
      <c r="B16" s="36"/>
      <c r="C16" s="131"/>
      <c r="D16" s="32"/>
      <c r="E16" s="131"/>
      <c r="F16" s="38"/>
      <c r="G16" s="39"/>
    </row>
    <row r="17" spans="1:7" s="7" customFormat="1" ht="18" customHeight="1" thickBot="1">
      <c r="A17" s="35"/>
      <c r="B17" s="36"/>
      <c r="C17" s="122"/>
      <c r="D17" s="32"/>
      <c r="E17" s="122"/>
      <c r="F17" s="38"/>
      <c r="G17" s="39"/>
    </row>
    <row r="18" spans="1:7" s="7" customFormat="1" ht="18" customHeight="1" thickBot="1">
      <c r="A18" s="34" t="s">
        <v>173</v>
      </c>
      <c r="B18" s="31">
        <v>63</v>
      </c>
      <c r="C18" s="130" t="s">
        <v>17</v>
      </c>
      <c r="D18" s="32"/>
      <c r="E18" s="130" t="s">
        <v>19</v>
      </c>
      <c r="F18" s="33">
        <v>59</v>
      </c>
      <c r="G18" s="34" t="s">
        <v>172</v>
      </c>
    </row>
    <row r="19" spans="1:7" s="7" customFormat="1" ht="18" customHeight="1" thickBot="1">
      <c r="A19" s="35"/>
      <c r="B19" s="36"/>
      <c r="C19" s="131"/>
      <c r="D19" s="32"/>
      <c r="E19" s="131"/>
      <c r="F19" s="38"/>
      <c r="G19" s="39"/>
    </row>
    <row r="20" spans="1:7" s="7" customFormat="1" ht="18" customHeight="1" thickBot="1">
      <c r="A20" s="35"/>
      <c r="B20" s="36"/>
      <c r="C20" s="122"/>
      <c r="D20" s="32"/>
      <c r="E20" s="122"/>
      <c r="F20" s="38"/>
      <c r="G20" s="39"/>
    </row>
    <row r="21" spans="1:7" s="7" customFormat="1" ht="18" customHeight="1" thickBot="1">
      <c r="A21" s="30" t="s">
        <v>171</v>
      </c>
      <c r="B21" s="31">
        <v>58</v>
      </c>
      <c r="C21" s="130" t="s">
        <v>17</v>
      </c>
      <c r="D21" s="32"/>
      <c r="E21" s="130" t="s">
        <v>19</v>
      </c>
      <c r="F21" s="33">
        <v>57</v>
      </c>
      <c r="G21" s="34" t="s">
        <v>110</v>
      </c>
    </row>
    <row r="22" spans="1:7" s="7" customFormat="1" ht="18" customHeight="1" thickBot="1">
      <c r="A22" s="35"/>
      <c r="B22" s="36"/>
      <c r="C22" s="131"/>
      <c r="D22" s="32"/>
      <c r="E22" s="131"/>
      <c r="F22" s="38"/>
      <c r="G22" s="39"/>
    </row>
    <row r="23" spans="1:7" s="7" customFormat="1" ht="18" customHeight="1" thickBot="1">
      <c r="A23" s="35"/>
      <c r="B23" s="36"/>
      <c r="C23" s="122"/>
      <c r="D23" s="32"/>
      <c r="E23" s="122"/>
      <c r="F23" s="38"/>
      <c r="G23" s="39"/>
    </row>
    <row r="24" spans="1:7" s="7" customFormat="1" ht="18" customHeight="1" thickBot="1">
      <c r="A24" s="34" t="s">
        <v>170</v>
      </c>
      <c r="B24" s="40">
        <v>55</v>
      </c>
      <c r="C24" s="130" t="s">
        <v>26</v>
      </c>
      <c r="D24" s="32"/>
      <c r="E24" s="130" t="s">
        <v>17</v>
      </c>
      <c r="F24" s="33">
        <v>56</v>
      </c>
      <c r="G24" s="34" t="s">
        <v>169</v>
      </c>
    </row>
    <row r="25" spans="1:7" s="7" customFormat="1" ht="18" customHeight="1" thickBot="1">
      <c r="A25" s="35"/>
      <c r="B25" s="36"/>
      <c r="C25" s="131"/>
      <c r="D25" s="32"/>
      <c r="E25" s="131"/>
      <c r="F25" s="38"/>
      <c r="G25" s="39"/>
    </row>
    <row r="26" spans="1:7" s="7" customFormat="1" ht="18" customHeight="1" thickBot="1">
      <c r="A26" s="35"/>
      <c r="B26" s="36"/>
      <c r="C26" s="122"/>
      <c r="D26" s="32"/>
      <c r="E26" s="122"/>
      <c r="F26" s="38"/>
      <c r="G26" s="39"/>
    </row>
    <row r="27" spans="1:7" s="7" customFormat="1" ht="18" customHeight="1" thickBot="1">
      <c r="A27" s="34" t="s">
        <v>166</v>
      </c>
      <c r="B27" s="40">
        <v>53</v>
      </c>
      <c r="C27" s="130" t="s">
        <v>17</v>
      </c>
      <c r="D27" s="32"/>
      <c r="E27" s="130" t="s">
        <v>17</v>
      </c>
      <c r="F27" s="33">
        <v>54</v>
      </c>
      <c r="G27" s="34" t="s">
        <v>168</v>
      </c>
    </row>
    <row r="28" spans="1:7" s="7" customFormat="1" ht="18" customHeight="1" thickBot="1">
      <c r="A28" s="35"/>
      <c r="B28" s="36"/>
      <c r="C28" s="131"/>
      <c r="D28" s="32"/>
      <c r="E28" s="131"/>
      <c r="F28" s="38"/>
      <c r="G28" s="39"/>
    </row>
    <row r="29" spans="1:7" s="7" customFormat="1" ht="18" customHeight="1" thickBot="1">
      <c r="A29" s="35"/>
      <c r="B29" s="36"/>
      <c r="C29" s="122"/>
      <c r="D29" s="32"/>
      <c r="E29" s="122"/>
      <c r="F29" s="38"/>
      <c r="G29" s="39"/>
    </row>
    <row r="30" spans="1:7" s="7" customFormat="1" ht="18" customHeight="1" thickBot="1">
      <c r="A30" s="34" t="s">
        <v>165</v>
      </c>
      <c r="B30" s="40">
        <v>52</v>
      </c>
      <c r="C30" s="130" t="s">
        <v>17</v>
      </c>
      <c r="D30" s="32"/>
      <c r="E30" s="130" t="s">
        <v>26</v>
      </c>
      <c r="F30" s="33">
        <v>51</v>
      </c>
      <c r="G30" s="34" t="s">
        <v>167</v>
      </c>
    </row>
    <row r="31" spans="1:7" s="7" customFormat="1" ht="18" customHeight="1" thickBot="1">
      <c r="A31" s="35"/>
      <c r="B31" s="36"/>
      <c r="C31" s="131"/>
      <c r="D31" s="32"/>
      <c r="E31" s="131"/>
      <c r="F31" s="38"/>
      <c r="G31" s="39"/>
    </row>
    <row r="32" spans="1:7" s="7" customFormat="1" ht="18" customHeight="1" thickBot="1">
      <c r="A32" s="35"/>
      <c r="B32" s="36"/>
      <c r="C32" s="41"/>
      <c r="D32" s="42"/>
      <c r="E32" s="41"/>
      <c r="F32" s="38"/>
      <c r="G32" s="39"/>
    </row>
    <row r="33" spans="1:7" s="7" customFormat="1" ht="18" customHeight="1" thickBot="1">
      <c r="A33" s="34" t="s">
        <v>164</v>
      </c>
      <c r="B33" s="40">
        <v>50</v>
      </c>
      <c r="C33" s="130" t="s">
        <v>17</v>
      </c>
      <c r="D33" s="32"/>
      <c r="E33" s="130" t="s">
        <v>17</v>
      </c>
      <c r="F33" s="33">
        <v>49</v>
      </c>
      <c r="G33" s="34" t="s">
        <v>163</v>
      </c>
    </row>
    <row r="34" spans="1:7" s="7" customFormat="1" ht="18" customHeight="1" thickBot="1">
      <c r="A34" s="35"/>
      <c r="B34" s="36"/>
      <c r="C34" s="131"/>
      <c r="D34" s="32"/>
      <c r="E34" s="131"/>
      <c r="F34" s="38"/>
      <c r="G34" s="39"/>
    </row>
    <row r="35" spans="1:7" s="7" customFormat="1" ht="18" customHeight="1" thickBot="1">
      <c r="A35" s="35"/>
      <c r="B35" s="36"/>
      <c r="C35" s="122"/>
      <c r="D35" s="32"/>
      <c r="E35" s="122"/>
      <c r="F35" s="38"/>
      <c r="G35" s="39"/>
    </row>
    <row r="36" spans="1:7" s="7" customFormat="1" ht="18" customHeight="1" thickBot="1">
      <c r="A36" s="34" t="s">
        <v>162</v>
      </c>
      <c r="B36" s="40">
        <v>48</v>
      </c>
      <c r="C36" s="130" t="s">
        <v>19</v>
      </c>
      <c r="D36" s="32"/>
      <c r="E36" s="130" t="s">
        <v>17</v>
      </c>
      <c r="F36" s="33">
        <v>47</v>
      </c>
      <c r="G36" s="34" t="s">
        <v>161</v>
      </c>
    </row>
    <row r="37" spans="1:7" s="7" customFormat="1" ht="18" customHeight="1" thickBot="1">
      <c r="A37" s="35"/>
      <c r="B37" s="36"/>
      <c r="C37" s="131"/>
      <c r="D37" s="32"/>
      <c r="E37" s="131"/>
      <c r="F37" s="38"/>
      <c r="G37" s="39"/>
    </row>
    <row r="38" spans="1:7" s="7" customFormat="1" ht="18" customHeight="1" thickBot="1">
      <c r="A38" s="35"/>
      <c r="B38" s="36"/>
      <c r="C38" s="122"/>
      <c r="D38" s="32"/>
      <c r="E38" s="122"/>
      <c r="F38" s="38"/>
      <c r="G38" s="39"/>
    </row>
    <row r="39" spans="1:7" s="7" customFormat="1" ht="18" customHeight="1" thickBot="1">
      <c r="A39" s="34" t="s">
        <v>160</v>
      </c>
      <c r="B39" s="40">
        <v>46</v>
      </c>
      <c r="C39" s="130" t="s">
        <v>17</v>
      </c>
      <c r="D39" s="32"/>
      <c r="E39" s="130" t="s">
        <v>155</v>
      </c>
      <c r="F39" s="33">
        <v>45</v>
      </c>
      <c r="G39" s="30" t="s">
        <v>158</v>
      </c>
    </row>
    <row r="40" spans="1:7" s="7" customFormat="1" ht="18" customHeight="1" thickBot="1">
      <c r="A40" s="35"/>
      <c r="B40" s="36"/>
      <c r="C40" s="131"/>
      <c r="D40" s="32"/>
      <c r="E40" s="131"/>
      <c r="F40" s="38"/>
      <c r="G40" s="39"/>
    </row>
    <row r="41" spans="1:7" s="7" customFormat="1" ht="18" customHeight="1" thickBot="1">
      <c r="A41" s="35"/>
      <c r="B41" s="36"/>
      <c r="C41" s="122"/>
      <c r="D41" s="32"/>
      <c r="E41" s="122"/>
      <c r="F41" s="38"/>
      <c r="G41" s="39"/>
    </row>
    <row r="42" spans="1:7" s="7" customFormat="1" ht="18" customHeight="1" thickBot="1">
      <c r="A42" s="34" t="s">
        <v>158</v>
      </c>
      <c r="B42" s="40">
        <v>43</v>
      </c>
      <c r="C42" s="130" t="s">
        <v>155</v>
      </c>
      <c r="D42" s="32"/>
      <c r="E42" s="130" t="s">
        <v>17</v>
      </c>
      <c r="F42" s="33">
        <v>44</v>
      </c>
      <c r="G42" s="34" t="s">
        <v>159</v>
      </c>
    </row>
    <row r="43" spans="1:7" s="7" customFormat="1" ht="18" customHeight="1" thickBot="1">
      <c r="A43" s="127"/>
      <c r="B43" s="36"/>
      <c r="C43" s="131"/>
      <c r="D43" s="32"/>
      <c r="E43" s="131"/>
      <c r="F43" s="38"/>
      <c r="G43" s="39"/>
    </row>
    <row r="44" spans="1:7" s="7" customFormat="1" ht="18" customHeight="1" thickBot="1">
      <c r="A44" s="35"/>
      <c r="B44" s="36"/>
      <c r="C44" s="122"/>
      <c r="D44" s="32"/>
      <c r="E44" s="122"/>
      <c r="F44" s="38"/>
      <c r="G44" s="39"/>
    </row>
    <row r="45" spans="1:7" s="7" customFormat="1" ht="18" customHeight="1" thickBot="1">
      <c r="A45" s="34" t="s">
        <v>157</v>
      </c>
      <c r="B45" s="40">
        <v>42</v>
      </c>
      <c r="C45" s="130" t="s">
        <v>17</v>
      </c>
      <c r="D45" s="32"/>
      <c r="E45" s="130" t="s">
        <v>16</v>
      </c>
      <c r="F45" s="33">
        <v>41</v>
      </c>
      <c r="G45" s="34" t="s">
        <v>156</v>
      </c>
    </row>
    <row r="46" spans="1:7" s="7" customFormat="1" ht="18" customHeight="1" thickBot="1">
      <c r="A46" s="35"/>
      <c r="B46" s="36"/>
      <c r="C46" s="131"/>
      <c r="D46" s="32"/>
      <c r="E46" s="131"/>
      <c r="F46" s="38"/>
      <c r="G46" s="39"/>
    </row>
    <row r="47" spans="1:7" s="7" customFormat="1" ht="18" customHeight="1" thickBot="1">
      <c r="A47" s="35"/>
      <c r="B47" s="36"/>
      <c r="C47" s="122"/>
      <c r="D47" s="32"/>
      <c r="E47" s="122"/>
      <c r="F47" s="38"/>
      <c r="G47" s="39"/>
    </row>
    <row r="48" spans="1:7" s="7" customFormat="1" ht="18" customHeight="1" thickBot="1">
      <c r="A48" s="34" t="s">
        <v>154</v>
      </c>
      <c r="B48" s="40">
        <v>40</v>
      </c>
      <c r="C48" s="130" t="s">
        <v>155</v>
      </c>
      <c r="D48" s="32"/>
      <c r="E48" s="130" t="s">
        <v>17</v>
      </c>
      <c r="F48" s="33">
        <v>39</v>
      </c>
      <c r="G48" s="34" t="s">
        <v>153</v>
      </c>
    </row>
    <row r="49" spans="1:7" s="7" customFormat="1" ht="18" customHeight="1" thickBot="1">
      <c r="A49" s="35"/>
      <c r="B49" s="36"/>
      <c r="C49" s="131"/>
      <c r="D49" s="32"/>
      <c r="E49" s="131"/>
      <c r="F49" s="38"/>
      <c r="G49" s="39"/>
    </row>
    <row r="50" spans="1:7" s="7" customFormat="1" ht="18" customHeight="1" thickBot="1">
      <c r="A50" s="35"/>
      <c r="B50" s="36"/>
      <c r="C50" s="122"/>
      <c r="D50" s="32"/>
      <c r="E50" s="122"/>
      <c r="F50" s="38"/>
      <c r="G50" s="39"/>
    </row>
    <row r="51" spans="1:7" s="7" customFormat="1" ht="18" customHeight="1" thickBot="1">
      <c r="A51" s="34" t="s">
        <v>152</v>
      </c>
      <c r="B51" s="40">
        <v>38</v>
      </c>
      <c r="C51" s="130" t="s">
        <v>17</v>
      </c>
      <c r="D51" s="32"/>
      <c r="E51" s="130" t="s">
        <v>19</v>
      </c>
      <c r="F51" s="33">
        <v>36</v>
      </c>
      <c r="G51" s="34" t="s">
        <v>150</v>
      </c>
    </row>
    <row r="52" spans="1:7" s="7" customFormat="1" ht="18" customHeight="1" thickBot="1">
      <c r="A52" s="35"/>
      <c r="B52" s="36"/>
      <c r="C52" s="131"/>
      <c r="D52" s="32"/>
      <c r="E52" s="131"/>
      <c r="F52" s="38"/>
      <c r="G52" s="39"/>
    </row>
    <row r="53" spans="1:7" s="7" customFormat="1" ht="18" customHeight="1" thickBot="1">
      <c r="A53" s="35"/>
      <c r="B53" s="36"/>
      <c r="C53" s="122"/>
      <c r="D53" s="32"/>
      <c r="E53" s="122"/>
      <c r="F53" s="38"/>
      <c r="G53" s="39"/>
    </row>
    <row r="54" spans="1:7" s="7" customFormat="1" ht="18" customHeight="1" thickBot="1">
      <c r="A54" s="34" t="s">
        <v>151</v>
      </c>
      <c r="B54" s="40">
        <v>37</v>
      </c>
      <c r="C54" s="130" t="s">
        <v>17</v>
      </c>
      <c r="D54" s="32"/>
      <c r="E54" s="130" t="s">
        <v>17</v>
      </c>
      <c r="F54" s="33">
        <v>35</v>
      </c>
      <c r="G54" s="30" t="s">
        <v>149</v>
      </c>
    </row>
    <row r="55" spans="1:7" s="7" customFormat="1" ht="18" customHeight="1" thickBot="1">
      <c r="A55" s="35"/>
      <c r="B55" s="36"/>
      <c r="C55" s="131"/>
      <c r="D55" s="32"/>
      <c r="E55" s="131"/>
      <c r="F55" s="38"/>
      <c r="G55" s="39"/>
    </row>
    <row r="56" spans="1:7" s="7" customFormat="1" ht="18" customHeight="1" thickBot="1">
      <c r="A56" s="35"/>
      <c r="B56" s="36"/>
      <c r="C56" s="122"/>
      <c r="D56" s="32"/>
      <c r="E56" s="122"/>
      <c r="F56" s="38"/>
      <c r="G56" s="39"/>
    </row>
    <row r="57" spans="1:7" s="7" customFormat="1" ht="18" customHeight="1" thickBot="1">
      <c r="A57" s="34" t="s">
        <v>148</v>
      </c>
      <c r="B57" s="40">
        <v>33</v>
      </c>
      <c r="C57" s="130" t="s">
        <v>19</v>
      </c>
      <c r="D57" s="32"/>
      <c r="E57" s="130" t="s">
        <v>17</v>
      </c>
      <c r="F57" s="33">
        <v>34</v>
      </c>
      <c r="G57" s="30" t="s">
        <v>149</v>
      </c>
    </row>
    <row r="58" spans="1:7" s="7" customFormat="1" ht="18" customHeight="1" thickBot="1">
      <c r="A58" s="35"/>
      <c r="B58" s="36"/>
      <c r="C58" s="131"/>
      <c r="D58" s="32"/>
      <c r="E58" s="131"/>
      <c r="F58" s="38"/>
      <c r="G58" s="39"/>
    </row>
    <row r="59" spans="1:7" s="7" customFormat="1" ht="18" customHeight="1" thickBot="1">
      <c r="A59" s="35"/>
      <c r="B59" s="36"/>
      <c r="C59" s="122"/>
      <c r="D59" s="32"/>
      <c r="E59" s="122"/>
      <c r="F59" s="38"/>
      <c r="G59" s="39"/>
    </row>
    <row r="60" spans="1:7" s="7" customFormat="1" ht="18" customHeight="1" thickBot="1">
      <c r="A60" s="34" t="s">
        <v>144</v>
      </c>
      <c r="B60" s="40">
        <v>29</v>
      </c>
      <c r="C60" s="130" t="s">
        <v>17</v>
      </c>
      <c r="D60" s="32"/>
      <c r="E60" s="130" t="s">
        <v>17</v>
      </c>
      <c r="F60" s="33">
        <v>32</v>
      </c>
      <c r="G60" s="34" t="s">
        <v>147</v>
      </c>
    </row>
    <row r="61" spans="1:7" s="7" customFormat="1" ht="18" customHeight="1" thickBot="1">
      <c r="A61" s="35"/>
      <c r="B61" s="36"/>
      <c r="C61" s="131"/>
      <c r="D61" s="32"/>
      <c r="E61" s="131"/>
      <c r="F61" s="38"/>
      <c r="G61" s="39"/>
    </row>
    <row r="62" spans="1:7" s="7" customFormat="1" ht="18" customHeight="1" thickBot="1">
      <c r="A62" s="35"/>
      <c r="B62" s="36"/>
      <c r="C62" s="122"/>
      <c r="D62" s="32"/>
      <c r="E62" s="122"/>
      <c r="F62" s="38"/>
      <c r="G62" s="39"/>
    </row>
    <row r="63" spans="1:7" s="7" customFormat="1" ht="18" customHeight="1" thickBot="1">
      <c r="A63" s="34" t="s">
        <v>143</v>
      </c>
      <c r="B63" s="40">
        <v>28</v>
      </c>
      <c r="C63" s="130" t="s">
        <v>17</v>
      </c>
      <c r="D63" s="32"/>
      <c r="E63" s="130" t="s">
        <v>17</v>
      </c>
      <c r="F63" s="33">
        <v>31</v>
      </c>
      <c r="G63" s="34" t="s">
        <v>146</v>
      </c>
    </row>
    <row r="64" spans="1:7" s="7" customFormat="1" ht="18" customHeight="1" thickBot="1">
      <c r="A64" s="35"/>
      <c r="B64" s="36"/>
      <c r="C64" s="131"/>
      <c r="D64" s="32"/>
      <c r="E64" s="131"/>
      <c r="F64" s="38"/>
      <c r="G64" s="39"/>
    </row>
    <row r="65" spans="1:8" s="7" customFormat="1" ht="18" customHeight="1" thickBot="1">
      <c r="A65" s="35"/>
      <c r="B65" s="36"/>
      <c r="C65" s="122"/>
      <c r="D65" s="32"/>
      <c r="E65" s="122"/>
      <c r="F65" s="38"/>
      <c r="G65" s="39"/>
    </row>
    <row r="66" spans="1:8" s="7" customFormat="1" ht="18" customHeight="1" thickBot="1">
      <c r="A66" s="34" t="s">
        <v>142</v>
      </c>
      <c r="B66" s="40">
        <v>27</v>
      </c>
      <c r="C66" s="130" t="s">
        <v>17</v>
      </c>
      <c r="D66" s="32"/>
      <c r="E66" s="130" t="s">
        <v>17</v>
      </c>
      <c r="F66" s="31">
        <v>30</v>
      </c>
      <c r="G66" s="34" t="s">
        <v>145</v>
      </c>
    </row>
    <row r="67" spans="1:8" s="7" customFormat="1" ht="18" customHeight="1" thickBot="1">
      <c r="A67" s="35"/>
      <c r="B67" s="36"/>
      <c r="C67" s="131"/>
      <c r="D67" s="32"/>
      <c r="E67" s="131"/>
      <c r="F67" s="38"/>
      <c r="G67" s="39"/>
    </row>
    <row r="68" spans="1:8" s="7" customFormat="1" ht="18" customHeight="1" thickBot="1">
      <c r="A68" s="35"/>
      <c r="B68" s="121"/>
      <c r="C68" s="44"/>
      <c r="D68" s="32"/>
      <c r="E68" s="44"/>
      <c r="F68" s="38"/>
      <c r="G68" s="39"/>
    </row>
    <row r="69" spans="1:8" s="7" customFormat="1" ht="18" customHeight="1" thickBot="1">
      <c r="A69" s="34" t="s">
        <v>140</v>
      </c>
      <c r="B69" s="40">
        <v>25</v>
      </c>
      <c r="C69" s="130" t="s">
        <v>26</v>
      </c>
      <c r="D69" s="32"/>
      <c r="E69" s="130" t="s">
        <v>17</v>
      </c>
      <c r="F69" s="33">
        <v>26</v>
      </c>
      <c r="G69" s="34" t="s">
        <v>141</v>
      </c>
    </row>
    <row r="70" spans="1:8" s="7" customFormat="1" ht="18" customHeight="1" thickBot="1">
      <c r="A70" s="35"/>
      <c r="B70" s="36"/>
      <c r="C70" s="131"/>
      <c r="D70" s="32"/>
      <c r="E70" s="131"/>
      <c r="F70" s="146"/>
      <c r="G70" s="147"/>
    </row>
    <row r="71" spans="1:8" s="7" customFormat="1" ht="18" customHeight="1" thickBot="1">
      <c r="A71" s="35"/>
      <c r="B71" s="36"/>
      <c r="C71" s="44"/>
      <c r="D71" s="32"/>
      <c r="E71" s="44"/>
      <c r="F71" s="146"/>
      <c r="G71" s="147"/>
    </row>
    <row r="72" spans="1:8" s="7" customFormat="1" ht="18" customHeight="1" thickBot="1">
      <c r="A72" s="34" t="s">
        <v>137</v>
      </c>
      <c r="B72" s="40">
        <v>22</v>
      </c>
      <c r="C72" s="130" t="s">
        <v>19</v>
      </c>
      <c r="D72" s="32"/>
      <c r="E72" s="130" t="s">
        <v>26</v>
      </c>
      <c r="F72" s="33">
        <v>24</v>
      </c>
      <c r="G72" s="34" t="s">
        <v>139</v>
      </c>
    </row>
    <row r="73" spans="1:8" s="7" customFormat="1" ht="18" customHeight="1" thickBot="1">
      <c r="A73" s="35"/>
      <c r="B73" s="36"/>
      <c r="C73" s="131"/>
      <c r="D73" s="32"/>
      <c r="E73" s="131"/>
      <c r="F73" s="146"/>
      <c r="G73" s="147"/>
    </row>
    <row r="74" spans="1:8" s="7" customFormat="1" ht="18" customHeight="1" thickBot="1">
      <c r="A74" s="35"/>
      <c r="B74" s="36"/>
      <c r="C74" s="44"/>
      <c r="D74" s="32"/>
      <c r="E74" s="44"/>
      <c r="F74" s="146"/>
      <c r="G74" s="147"/>
    </row>
    <row r="75" spans="1:8" s="7" customFormat="1" ht="18" customHeight="1" thickBot="1">
      <c r="A75" s="34" t="s">
        <v>134</v>
      </c>
      <c r="B75" s="40">
        <v>20</v>
      </c>
      <c r="C75" s="130" t="s">
        <v>17</v>
      </c>
      <c r="D75" s="32"/>
      <c r="E75" s="130" t="s">
        <v>17</v>
      </c>
      <c r="F75" s="33">
        <v>23</v>
      </c>
      <c r="G75" s="34" t="s">
        <v>138</v>
      </c>
    </row>
    <row r="76" spans="1:8" s="7" customFormat="1" ht="18" customHeight="1" thickBot="1">
      <c r="A76" s="35"/>
      <c r="B76" s="36"/>
      <c r="C76" s="131"/>
      <c r="D76" s="32"/>
      <c r="E76" s="131"/>
      <c r="F76" s="146"/>
      <c r="G76" s="147"/>
    </row>
    <row r="77" spans="1:8" s="7" customFormat="1" ht="18" customHeight="1" thickBot="1">
      <c r="A77" s="35"/>
      <c r="B77" s="36"/>
      <c r="C77" s="44"/>
      <c r="D77" s="32"/>
      <c r="E77" s="44"/>
      <c r="F77" s="146"/>
      <c r="G77" s="147"/>
    </row>
    <row r="78" spans="1:8" s="7" customFormat="1" ht="18" customHeight="1" thickBot="1">
      <c r="A78" s="34" t="s">
        <v>131</v>
      </c>
      <c r="B78" s="40">
        <v>17</v>
      </c>
      <c r="C78" s="130" t="s">
        <v>17</v>
      </c>
      <c r="D78" s="32"/>
      <c r="E78" s="130" t="s">
        <v>136</v>
      </c>
      <c r="F78" s="33">
        <v>21</v>
      </c>
      <c r="G78" s="34" t="s">
        <v>135</v>
      </c>
    </row>
    <row r="79" spans="1:8" s="7" customFormat="1" ht="18" customHeight="1" thickBot="1">
      <c r="A79" s="45"/>
      <c r="B79" s="46"/>
      <c r="C79" s="131"/>
      <c r="D79" s="32"/>
      <c r="E79" s="131"/>
      <c r="F79" s="146"/>
      <c r="G79" s="147"/>
      <c r="H79" s="47"/>
    </row>
    <row r="80" spans="1:8" s="7" customFormat="1" ht="18" customHeight="1" thickBot="1">
      <c r="A80" s="45"/>
      <c r="B80" s="46"/>
      <c r="C80" s="48"/>
      <c r="D80" s="32"/>
      <c r="E80" s="44"/>
      <c r="F80" s="146"/>
      <c r="G80" s="147"/>
      <c r="H80" s="47"/>
    </row>
    <row r="81" spans="1:7" s="50" customFormat="1" ht="18" customHeight="1" thickBot="1">
      <c r="A81" s="34" t="s">
        <v>130</v>
      </c>
      <c r="B81" s="40">
        <v>16</v>
      </c>
      <c r="C81" s="130" t="s">
        <v>17</v>
      </c>
      <c r="D81" s="49"/>
      <c r="E81" s="144" t="s">
        <v>17</v>
      </c>
      <c r="F81" s="33">
        <v>19</v>
      </c>
      <c r="G81" s="34" t="s">
        <v>133</v>
      </c>
    </row>
    <row r="82" spans="1:7" s="50" customFormat="1" ht="18" customHeight="1" thickBot="1">
      <c r="A82" s="51"/>
      <c r="B82" s="52"/>
      <c r="C82" s="131"/>
      <c r="D82" s="49"/>
      <c r="E82" s="145"/>
      <c r="F82" s="53"/>
      <c r="G82" s="54"/>
    </row>
    <row r="83" spans="1:7" s="50" customFormat="1" ht="18" customHeight="1" thickBot="1">
      <c r="A83" s="55"/>
      <c r="B83" s="52"/>
      <c r="C83" s="56"/>
      <c r="D83" s="49"/>
      <c r="E83" s="57"/>
      <c r="F83" s="58"/>
      <c r="G83" s="59"/>
    </row>
    <row r="84" spans="1:7" s="50" customFormat="1" ht="18" customHeight="1" thickBot="1">
      <c r="A84" s="34" t="s">
        <v>129</v>
      </c>
      <c r="B84" s="40">
        <v>15</v>
      </c>
      <c r="C84" s="130" t="s">
        <v>19</v>
      </c>
      <c r="D84" s="49"/>
      <c r="E84" s="130" t="s">
        <v>17</v>
      </c>
      <c r="F84" s="33">
        <v>18</v>
      </c>
      <c r="G84" s="34" t="s">
        <v>132</v>
      </c>
    </row>
    <row r="85" spans="1:7" s="50" customFormat="1" ht="18" customHeight="1" thickBot="1">
      <c r="A85" s="51"/>
      <c r="B85" s="60"/>
      <c r="C85" s="131"/>
      <c r="D85" s="49"/>
      <c r="E85" s="131"/>
      <c r="F85" s="58"/>
      <c r="G85" s="59"/>
    </row>
    <row r="86" spans="1:7" s="50" customFormat="1" ht="18" customHeight="1" thickBot="1">
      <c r="A86" s="55"/>
      <c r="B86" s="60"/>
      <c r="C86" s="56"/>
      <c r="D86" s="49"/>
      <c r="E86" s="57"/>
      <c r="F86" s="58"/>
      <c r="G86" s="59"/>
    </row>
    <row r="87" spans="1:7" s="50" customFormat="1" ht="18" customHeight="1" thickBot="1">
      <c r="A87" s="34" t="s">
        <v>126</v>
      </c>
      <c r="B87" s="40">
        <v>12</v>
      </c>
      <c r="C87" s="130" t="s">
        <v>19</v>
      </c>
      <c r="D87" s="49"/>
      <c r="E87" s="130" t="s">
        <v>17</v>
      </c>
      <c r="F87" s="61">
        <v>14</v>
      </c>
      <c r="G87" s="34" t="s">
        <v>128</v>
      </c>
    </row>
    <row r="88" spans="1:7" s="50" customFormat="1" ht="18" customHeight="1" thickBot="1">
      <c r="A88" s="51"/>
      <c r="B88" s="60"/>
      <c r="C88" s="131"/>
      <c r="D88" s="49"/>
      <c r="E88" s="131"/>
      <c r="F88" s="62"/>
      <c r="G88" s="59"/>
    </row>
    <row r="89" spans="1:7" s="50" customFormat="1" ht="18" customHeight="1" thickBot="1">
      <c r="A89" s="51"/>
      <c r="B89" s="60"/>
      <c r="C89" s="63"/>
      <c r="D89" s="49"/>
      <c r="E89" s="64"/>
      <c r="F89" s="60"/>
      <c r="G89" s="59"/>
    </row>
    <row r="90" spans="1:7" s="50" customFormat="1" ht="18" customHeight="1" thickBot="1">
      <c r="A90" s="34" t="s">
        <v>125</v>
      </c>
      <c r="B90" s="40">
        <v>11</v>
      </c>
      <c r="C90" s="130" t="s">
        <v>19</v>
      </c>
      <c r="D90" s="49"/>
      <c r="E90" s="130" t="s">
        <v>24</v>
      </c>
      <c r="F90" s="65">
        <v>13</v>
      </c>
      <c r="G90" s="34" t="s">
        <v>127</v>
      </c>
    </row>
    <row r="91" spans="1:7" s="50" customFormat="1" ht="18" customHeight="1" thickBot="1">
      <c r="A91" s="66"/>
      <c r="B91" s="58"/>
      <c r="C91" s="131"/>
      <c r="D91" s="49"/>
      <c r="E91" s="131"/>
      <c r="F91" s="60"/>
      <c r="G91" s="132"/>
    </row>
    <row r="92" spans="1:7" s="50" customFormat="1" ht="18" customHeight="1" thickBot="1">
      <c r="A92" s="67"/>
      <c r="B92" s="60"/>
      <c r="C92" s="143"/>
      <c r="D92" s="143"/>
      <c r="E92" s="143"/>
      <c r="F92" s="60"/>
      <c r="G92" s="133"/>
    </row>
    <row r="93" spans="1:7" s="50" customFormat="1" ht="18" customHeight="1" thickBot="1">
      <c r="A93" s="34" t="s">
        <v>124</v>
      </c>
      <c r="B93" s="40">
        <v>10</v>
      </c>
      <c r="C93" s="130" t="s">
        <v>17</v>
      </c>
      <c r="D93" s="49"/>
      <c r="E93" s="130" t="s">
        <v>24</v>
      </c>
      <c r="F93" s="65">
        <v>9</v>
      </c>
      <c r="G93" s="34" t="s">
        <v>123</v>
      </c>
    </row>
    <row r="94" spans="1:7" s="50" customFormat="1" ht="18" customHeight="1" thickBot="1">
      <c r="A94" s="68"/>
      <c r="B94" s="52"/>
      <c r="C94" s="134"/>
      <c r="D94" s="49"/>
      <c r="E94" s="131"/>
      <c r="F94" s="69"/>
      <c r="G94" s="70"/>
    </row>
    <row r="95" spans="1:7" s="50" customFormat="1" ht="18" customHeight="1" thickBot="1">
      <c r="A95" s="68"/>
      <c r="B95" s="52"/>
      <c r="C95" s="142"/>
      <c r="D95" s="142"/>
      <c r="E95" s="142"/>
      <c r="F95" s="69"/>
      <c r="G95" s="70"/>
    </row>
    <row r="96" spans="1:7" s="50" customFormat="1" ht="18" customHeight="1" thickBot="1">
      <c r="A96" s="157" t="s">
        <v>122</v>
      </c>
      <c r="B96" s="158">
        <v>7</v>
      </c>
      <c r="C96" s="159" t="s">
        <v>17</v>
      </c>
      <c r="D96" s="49"/>
      <c r="E96" s="159" t="s">
        <v>17</v>
      </c>
      <c r="F96" s="161">
        <v>8</v>
      </c>
      <c r="G96" s="157" t="s">
        <v>122</v>
      </c>
    </row>
    <row r="97" spans="1:9" s="50" customFormat="1" ht="18" customHeight="1" thickBot="1">
      <c r="A97" s="72"/>
      <c r="B97" s="58"/>
      <c r="C97" s="160"/>
      <c r="D97" s="49"/>
      <c r="E97" s="160"/>
      <c r="F97" s="69"/>
      <c r="G97" s="73"/>
    </row>
    <row r="98" spans="1:9" s="50" customFormat="1" ht="18" customHeight="1" thickBot="1">
      <c r="A98" s="72"/>
      <c r="B98" s="58"/>
      <c r="C98" s="63"/>
      <c r="D98" s="49"/>
      <c r="E98" s="64"/>
      <c r="F98" s="60"/>
      <c r="G98" s="74"/>
    </row>
    <row r="99" spans="1:9" s="50" customFormat="1" ht="18" customHeight="1" thickBot="1">
      <c r="A99" s="34" t="s">
        <v>120</v>
      </c>
      <c r="B99" s="71">
        <v>5</v>
      </c>
      <c r="C99" s="130" t="s">
        <v>26</v>
      </c>
      <c r="D99" s="49"/>
      <c r="E99" s="130" t="s">
        <v>26</v>
      </c>
      <c r="F99" s="75">
        <v>6</v>
      </c>
      <c r="G99" s="34" t="s">
        <v>121</v>
      </c>
    </row>
    <row r="100" spans="1:9" s="50" customFormat="1" ht="18" customHeight="1" thickBot="1">
      <c r="A100" s="76"/>
      <c r="B100" s="58"/>
      <c r="C100" s="131"/>
      <c r="D100" s="49"/>
      <c r="E100" s="131"/>
      <c r="F100" s="77"/>
      <c r="G100" s="54"/>
    </row>
    <row r="101" spans="1:9" s="50" customFormat="1" ht="18" customHeight="1" thickBot="1">
      <c r="A101" s="55"/>
      <c r="B101" s="58"/>
      <c r="C101" s="78"/>
      <c r="D101" s="79"/>
      <c r="E101" s="80"/>
      <c r="F101" s="81"/>
      <c r="G101" s="59"/>
      <c r="I101" s="82"/>
    </row>
    <row r="102" spans="1:9" s="50" customFormat="1" ht="18" customHeight="1" thickBot="1">
      <c r="A102" s="34" t="s">
        <v>119</v>
      </c>
      <c r="B102" s="71">
        <v>3</v>
      </c>
      <c r="C102" s="130" t="s">
        <v>17</v>
      </c>
      <c r="D102" s="49"/>
      <c r="E102" s="130" t="s">
        <v>17</v>
      </c>
      <c r="F102" s="75">
        <v>4</v>
      </c>
      <c r="G102" s="34" t="s">
        <v>119</v>
      </c>
    </row>
    <row r="103" spans="1:9" s="50" customFormat="1" ht="18" customHeight="1" thickBot="1">
      <c r="A103" s="76"/>
      <c r="B103" s="53"/>
      <c r="C103" s="131"/>
      <c r="D103" s="49"/>
      <c r="E103" s="131"/>
      <c r="F103" s="77"/>
      <c r="G103" s="54"/>
    </row>
    <row r="104" spans="1:9" s="7" customFormat="1" ht="18" customHeight="1" thickBot="1">
      <c r="A104" s="55"/>
      <c r="B104" s="60"/>
      <c r="C104" s="83"/>
      <c r="D104" s="49"/>
      <c r="E104" s="83"/>
      <c r="F104" s="52"/>
      <c r="G104" s="59"/>
    </row>
    <row r="105" spans="1:9" s="7" customFormat="1" ht="18" customHeight="1" thickBot="1">
      <c r="A105" s="34" t="s">
        <v>117</v>
      </c>
      <c r="B105" s="84">
        <v>1</v>
      </c>
      <c r="C105" s="130" t="s">
        <v>19</v>
      </c>
      <c r="D105" s="85"/>
      <c r="E105" s="130" t="s">
        <v>17</v>
      </c>
      <c r="F105" s="75">
        <v>2</v>
      </c>
      <c r="G105" s="34" t="s">
        <v>118</v>
      </c>
    </row>
    <row r="106" spans="1:9" s="7" customFormat="1" ht="18" customHeight="1" thickBot="1">
      <c r="A106" s="68"/>
      <c r="B106" s="86"/>
      <c r="C106" s="131"/>
      <c r="D106" s="85"/>
      <c r="E106" s="131"/>
      <c r="F106" s="87"/>
      <c r="G106" s="70"/>
    </row>
    <row r="107" spans="1:9" s="7" customFormat="1" ht="18" customHeight="1" thickBot="1">
      <c r="A107" s="76"/>
      <c r="B107" s="53"/>
      <c r="C107" s="83"/>
      <c r="D107" s="85"/>
      <c r="E107" s="83"/>
      <c r="F107" s="77"/>
      <c r="G107" s="54"/>
    </row>
    <row r="108" spans="1:9" s="7" customFormat="1" ht="20.25" customHeight="1" thickBot="1">
      <c r="A108" s="88"/>
      <c r="B108" s="89"/>
      <c r="C108" s="135" t="s">
        <v>36</v>
      </c>
      <c r="D108" s="136"/>
      <c r="E108" s="137"/>
      <c r="F108" s="90"/>
      <c r="G108" s="91"/>
    </row>
    <row r="109" spans="1:9" s="7" customFormat="1" ht="20.25" customHeight="1" thickBot="1">
      <c r="A109" s="92"/>
      <c r="B109" s="93"/>
      <c r="C109" s="138"/>
      <c r="D109" s="139"/>
      <c r="E109" s="140"/>
      <c r="F109" s="93"/>
      <c r="G109" s="94" t="s">
        <v>37</v>
      </c>
    </row>
    <row r="110" spans="1:9" s="7" customFormat="1" ht="20.25" customHeight="1">
      <c r="A110" s="95"/>
      <c r="B110" s="96"/>
      <c r="C110" s="96"/>
      <c r="D110" s="96"/>
      <c r="E110" s="96"/>
      <c r="F110" s="96"/>
      <c r="G110" s="97" t="s">
        <v>178</v>
      </c>
    </row>
    <row r="111" spans="1:9" s="7" customFormat="1" ht="20.25" customHeight="1">
      <c r="A111" s="98" t="s">
        <v>38</v>
      </c>
      <c r="B111" s="99"/>
      <c r="C111" s="100"/>
      <c r="D111" s="100"/>
      <c r="E111" s="100"/>
      <c r="F111" s="100"/>
      <c r="G111" s="97" t="s">
        <v>114</v>
      </c>
    </row>
    <row r="112" spans="1:9" s="7" customFormat="1" ht="20.25" customHeight="1">
      <c r="A112" s="101"/>
      <c r="B112" s="100"/>
      <c r="C112" s="100"/>
      <c r="D112" s="141"/>
      <c r="E112" s="100"/>
      <c r="F112" s="100"/>
      <c r="G112" s="97" t="s">
        <v>179</v>
      </c>
    </row>
    <row r="113" spans="1:7" s="7" customFormat="1" ht="20.25" customHeight="1">
      <c r="A113" s="98" t="s">
        <v>40</v>
      </c>
      <c r="B113" s="102"/>
      <c r="C113" s="100"/>
      <c r="D113" s="141"/>
      <c r="E113" s="100"/>
      <c r="F113" s="100"/>
      <c r="G113" s="97" t="s">
        <v>115</v>
      </c>
    </row>
    <row r="114" spans="1:7" s="7" customFormat="1" ht="20.25" customHeight="1">
      <c r="A114" s="101"/>
      <c r="B114" s="100"/>
      <c r="C114" s="100"/>
      <c r="D114" s="100"/>
      <c r="E114" s="100"/>
      <c r="F114" s="100"/>
      <c r="G114" s="97" t="s">
        <v>180</v>
      </c>
    </row>
    <row r="115" spans="1:7" s="7" customFormat="1" ht="20.25" customHeight="1">
      <c r="A115" s="101"/>
      <c r="B115" s="100"/>
      <c r="C115" s="100"/>
      <c r="D115" s="100"/>
      <c r="E115" s="100"/>
      <c r="F115" s="100"/>
      <c r="G115" s="97" t="s">
        <v>182</v>
      </c>
    </row>
    <row r="116" spans="1:7" s="7" customFormat="1" ht="20.25" customHeight="1">
      <c r="A116" s="103"/>
      <c r="B116" s="104" t="s">
        <v>42</v>
      </c>
      <c r="C116" s="104"/>
      <c r="D116" s="104"/>
      <c r="E116" s="104" t="s">
        <v>43</v>
      </c>
      <c r="F116" s="100"/>
      <c r="G116" s="97" t="s">
        <v>183</v>
      </c>
    </row>
    <row r="117" spans="1:7" s="7" customFormat="1" ht="20.25" customHeight="1">
      <c r="A117" s="103"/>
      <c r="B117" s="104"/>
      <c r="C117" s="104"/>
      <c r="D117" s="104"/>
      <c r="E117" s="104"/>
      <c r="F117" s="100"/>
      <c r="G117" s="97" t="s">
        <v>181</v>
      </c>
    </row>
    <row r="118" spans="1:7" s="7" customFormat="1" ht="20.25" customHeight="1" thickBot="1">
      <c r="A118" s="103"/>
      <c r="B118" s="104" t="s">
        <v>46</v>
      </c>
      <c r="C118" s="104"/>
      <c r="D118" s="104"/>
      <c r="E118" s="104" t="s">
        <v>47</v>
      </c>
      <c r="F118" s="100"/>
      <c r="G118" s="97" t="s">
        <v>184</v>
      </c>
    </row>
    <row r="119" spans="1:7" s="7" customFormat="1" ht="20.25" customHeight="1" thickBot="1">
      <c r="A119" s="103"/>
      <c r="B119" s="104"/>
      <c r="C119" s="104"/>
      <c r="D119" s="104"/>
      <c r="E119" s="104"/>
      <c r="F119" s="100"/>
      <c r="G119" s="105" t="s">
        <v>116</v>
      </c>
    </row>
    <row r="120" spans="1:7" s="7" customFormat="1" ht="20.25" customHeight="1">
      <c r="A120" s="106" t="s">
        <v>108</v>
      </c>
      <c r="B120" s="123"/>
      <c r="C120" s="128"/>
      <c r="D120" s="128"/>
      <c r="E120" s="128"/>
      <c r="F120" s="104"/>
      <c r="G120" s="108" t="s">
        <v>48</v>
      </c>
    </row>
    <row r="121" spans="1:7" s="7" customFormat="1" ht="20.25" customHeight="1" thickBot="1">
      <c r="A121" s="109" t="s">
        <v>112</v>
      </c>
      <c r="B121" s="110"/>
      <c r="C121" s="129"/>
      <c r="D121" s="129"/>
      <c r="E121" s="129"/>
      <c r="F121" s="111"/>
      <c r="G121" s="112" t="s">
        <v>49</v>
      </c>
    </row>
    <row r="122" spans="1:7" ht="34.5">
      <c r="A122" s="113"/>
      <c r="B122" s="114"/>
      <c r="C122" s="114"/>
      <c r="D122" s="115"/>
      <c r="E122" s="115"/>
      <c r="F122" s="115"/>
      <c r="G122" s="116"/>
    </row>
    <row r="123" spans="1:7">
      <c r="A123" s="118"/>
      <c r="B123" s="116"/>
      <c r="C123" s="116"/>
      <c r="D123" s="116"/>
      <c r="E123" s="116"/>
      <c r="F123" s="116"/>
      <c r="G123" s="116"/>
    </row>
    <row r="126" spans="1:7">
      <c r="G126" s="117">
        <f>54+1+8+3+5+5</f>
        <v>76</v>
      </c>
    </row>
    <row r="127" spans="1:7" ht="27.75">
      <c r="G127" s="120"/>
    </row>
  </sheetData>
  <mergeCells count="81">
    <mergeCell ref="C99:C100"/>
    <mergeCell ref="E99:E100"/>
    <mergeCell ref="C15:C16"/>
    <mergeCell ref="E15:E16"/>
    <mergeCell ref="C12:C13"/>
    <mergeCell ref="E12:E13"/>
    <mergeCell ref="C120:E120"/>
    <mergeCell ref="C121:E121"/>
    <mergeCell ref="C102:C103"/>
    <mergeCell ref="E102:E103"/>
    <mergeCell ref="C105:C106"/>
    <mergeCell ref="E105:E106"/>
    <mergeCell ref="C108:E109"/>
    <mergeCell ref="D112:D113"/>
    <mergeCell ref="C93:C94"/>
    <mergeCell ref="E93:E94"/>
    <mergeCell ref="C95:E95"/>
    <mergeCell ref="C96:C97"/>
    <mergeCell ref="E96:E97"/>
    <mergeCell ref="G91:G92"/>
    <mergeCell ref="C92:E92"/>
    <mergeCell ref="C78:C79"/>
    <mergeCell ref="E78:E79"/>
    <mergeCell ref="F79:G80"/>
    <mergeCell ref="C81:C82"/>
    <mergeCell ref="E81:E82"/>
    <mergeCell ref="C84:C85"/>
    <mergeCell ref="E84:E85"/>
    <mergeCell ref="C87:C88"/>
    <mergeCell ref="E87:E88"/>
    <mergeCell ref="C90:C91"/>
    <mergeCell ref="E90:E91"/>
    <mergeCell ref="C75:C76"/>
    <mergeCell ref="E75:E76"/>
    <mergeCell ref="F76:G77"/>
    <mergeCell ref="C63:C64"/>
    <mergeCell ref="E63:E64"/>
    <mergeCell ref="C66:C67"/>
    <mergeCell ref="E66:E67"/>
    <mergeCell ref="C69:C70"/>
    <mergeCell ref="E69:E70"/>
    <mergeCell ref="F70:G71"/>
    <mergeCell ref="C72:C73"/>
    <mergeCell ref="E72:E73"/>
    <mergeCell ref="F73:G73"/>
    <mergeCell ref="F74:G74"/>
    <mergeCell ref="C45:C46"/>
    <mergeCell ref="E45:E46"/>
    <mergeCell ref="C48:C49"/>
    <mergeCell ref="E48:E49"/>
    <mergeCell ref="C51:C52"/>
    <mergeCell ref="E51:E52"/>
    <mergeCell ref="C54:C55"/>
    <mergeCell ref="E54:E55"/>
    <mergeCell ref="C57:C58"/>
    <mergeCell ref="E57:E58"/>
    <mergeCell ref="C60:C61"/>
    <mergeCell ref="E60:E61"/>
    <mergeCell ref="C27:C28"/>
    <mergeCell ref="E27:E28"/>
    <mergeCell ref="C30:C31"/>
    <mergeCell ref="E30:E31"/>
    <mergeCell ref="C33:C34"/>
    <mergeCell ref="E33:E34"/>
    <mergeCell ref="C36:C37"/>
    <mergeCell ref="E36:E37"/>
    <mergeCell ref="C39:C40"/>
    <mergeCell ref="E39:E40"/>
    <mergeCell ref="C42:C43"/>
    <mergeCell ref="E42:E43"/>
    <mergeCell ref="C24:C25"/>
    <mergeCell ref="E24:E25"/>
    <mergeCell ref="A1:G1"/>
    <mergeCell ref="C5:E5"/>
    <mergeCell ref="C6:E6"/>
    <mergeCell ref="C9:C10"/>
    <mergeCell ref="E9:E10"/>
    <mergeCell ref="C18:C19"/>
    <mergeCell ref="E18:E19"/>
    <mergeCell ref="C21:C22"/>
    <mergeCell ref="E21:E22"/>
  </mergeCells>
  <pageMargins left="0" right="0" top="0" bottom="0" header="0" footer="0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7800</vt:lpstr>
      <vt:lpstr>1893</vt:lpstr>
      <vt:lpstr>'1893'!Print_Area</vt:lpstr>
      <vt:lpstr>'7800'!Print_Area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105GF IE</dc:creator>
  <cp:lastModifiedBy>105GF.IE</cp:lastModifiedBy>
  <cp:lastPrinted>2026-03-10T03:58:30Z</cp:lastPrinted>
  <dcterms:created xsi:type="dcterms:W3CDTF">2024-04-01T08:45:07Z</dcterms:created>
  <dcterms:modified xsi:type="dcterms:W3CDTF">2026-03-24T11:59:58Z</dcterms:modified>
</cp:coreProperties>
</file>