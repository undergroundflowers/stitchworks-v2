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Important Data\Desktop\"/>
    </mc:Choice>
  </mc:AlternateContent>
  <xr:revisionPtr revIDLastSave="0" documentId="13_ncr:1_{A3062682-D87B-4035-AEDA-7712A4AF01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 s="1"/>
  <c r="M8" i="1"/>
  <c r="M9" i="1" s="1"/>
  <c r="I12" i="1"/>
  <c r="J12" i="1"/>
  <c r="K12" i="1" s="1"/>
  <c r="I13" i="1"/>
  <c r="J13" i="1"/>
  <c r="K13" i="1" s="1"/>
  <c r="I14" i="1"/>
  <c r="J14" i="1"/>
  <c r="K14" i="1" s="1"/>
  <c r="L14" i="1" s="1"/>
  <c r="I15" i="1"/>
  <c r="J15" i="1"/>
  <c r="K15" i="1" s="1"/>
  <c r="I16" i="1"/>
  <c r="J16" i="1"/>
  <c r="K16" i="1" s="1"/>
  <c r="I17" i="1"/>
  <c r="J17" i="1"/>
  <c r="K17" i="1" s="1"/>
  <c r="I18" i="1"/>
  <c r="J18" i="1"/>
  <c r="K18" i="1" s="1"/>
  <c r="I19" i="1"/>
  <c r="J19" i="1"/>
  <c r="K19" i="1" s="1"/>
  <c r="L19" i="1" s="1"/>
  <c r="I20" i="1"/>
  <c r="J20" i="1"/>
  <c r="K20" i="1" s="1"/>
  <c r="L20" i="1" s="1"/>
  <c r="I21" i="1"/>
  <c r="J21" i="1"/>
  <c r="K21" i="1" s="1"/>
  <c r="L21" i="1" s="1"/>
  <c r="I22" i="1"/>
  <c r="J22" i="1"/>
  <c r="K22" i="1" s="1"/>
  <c r="L22" i="1" s="1"/>
  <c r="I23" i="1"/>
  <c r="J23" i="1"/>
  <c r="K23" i="1" s="1"/>
  <c r="L23" i="1" s="1"/>
  <c r="I24" i="1"/>
  <c r="J24" i="1"/>
  <c r="K24" i="1" s="1"/>
  <c r="L24" i="1" s="1"/>
  <c r="I25" i="1"/>
  <c r="J25" i="1"/>
  <c r="K25" i="1" s="1"/>
  <c r="L25" i="1" s="1"/>
  <c r="I26" i="1"/>
  <c r="J26" i="1"/>
  <c r="K26" i="1" s="1"/>
  <c r="L26" i="1" s="1"/>
  <c r="I27" i="1"/>
  <c r="J27" i="1"/>
  <c r="K27" i="1" s="1"/>
  <c r="L27" i="1" s="1"/>
  <c r="I28" i="1"/>
  <c r="J28" i="1"/>
  <c r="K28" i="1" s="1"/>
  <c r="L28" i="1" s="1"/>
  <c r="I29" i="1"/>
  <c r="J29" i="1"/>
  <c r="K29" i="1" s="1"/>
  <c r="L29" i="1" s="1"/>
  <c r="I30" i="1"/>
  <c r="J30" i="1"/>
  <c r="K30" i="1" s="1"/>
  <c r="L30" i="1" s="1"/>
  <c r="I31" i="1"/>
  <c r="J31" i="1"/>
  <c r="K31" i="1" s="1"/>
  <c r="L31" i="1" s="1"/>
  <c r="I32" i="1"/>
  <c r="J32" i="1"/>
  <c r="K32" i="1" s="1"/>
  <c r="L32" i="1" s="1"/>
  <c r="I33" i="1"/>
  <c r="J33" i="1"/>
  <c r="K33" i="1" s="1"/>
  <c r="L33" i="1" s="1"/>
  <c r="I34" i="1"/>
  <c r="J34" i="1"/>
  <c r="K34" i="1" s="1"/>
  <c r="L34" i="1" s="1"/>
  <c r="I35" i="1"/>
  <c r="J35" i="1"/>
  <c r="K35" i="1" s="1"/>
  <c r="L35" i="1" s="1"/>
  <c r="I36" i="1"/>
  <c r="J36" i="1"/>
  <c r="K36" i="1" s="1"/>
  <c r="L36" i="1" s="1"/>
  <c r="I37" i="1"/>
  <c r="J37" i="1"/>
  <c r="K37" i="1" s="1"/>
  <c r="L37" i="1" s="1"/>
  <c r="I38" i="1"/>
  <c r="J38" i="1"/>
  <c r="K38" i="1" s="1"/>
  <c r="L38" i="1" s="1"/>
  <c r="I39" i="1"/>
  <c r="J39" i="1"/>
  <c r="K39" i="1" s="1"/>
  <c r="L39" i="1" s="1"/>
  <c r="I40" i="1"/>
  <c r="J40" i="1"/>
  <c r="K40" i="1" s="1"/>
  <c r="L40" i="1" s="1"/>
  <c r="I41" i="1"/>
  <c r="J41" i="1"/>
  <c r="K41" i="1" s="1"/>
  <c r="L41" i="1" s="1"/>
  <c r="I42" i="1"/>
  <c r="J42" i="1"/>
  <c r="K42" i="1" s="1"/>
  <c r="L42" i="1" s="1"/>
  <c r="I43" i="1"/>
  <c r="J43" i="1"/>
  <c r="K43" i="1" s="1"/>
  <c r="L43" i="1" s="1"/>
  <c r="I44" i="1"/>
  <c r="J44" i="1"/>
  <c r="K44" i="1" s="1"/>
  <c r="L44" i="1" s="1"/>
  <c r="I45" i="1"/>
  <c r="J45" i="1"/>
  <c r="K45" i="1" s="1"/>
  <c r="L45" i="1" s="1"/>
  <c r="I46" i="1"/>
  <c r="J46" i="1"/>
  <c r="K46" i="1" s="1"/>
  <c r="L46" i="1" s="1"/>
  <c r="I47" i="1"/>
  <c r="J47" i="1"/>
  <c r="K47" i="1" s="1"/>
  <c r="L47" i="1" s="1"/>
  <c r="I48" i="1"/>
  <c r="J48" i="1"/>
  <c r="K48" i="1" s="1"/>
  <c r="L48" i="1" s="1"/>
  <c r="I49" i="1"/>
  <c r="J49" i="1"/>
  <c r="K49" i="1" s="1"/>
  <c r="L49" i="1" s="1"/>
  <c r="I50" i="1"/>
  <c r="J50" i="1"/>
  <c r="K50" i="1" s="1"/>
  <c r="L50" i="1" s="1"/>
  <c r="I51" i="1"/>
  <c r="J51" i="1"/>
  <c r="K51" i="1" s="1"/>
  <c r="L51" i="1" s="1"/>
  <c r="I52" i="1"/>
  <c r="J52" i="1"/>
  <c r="K52" i="1" s="1"/>
  <c r="L52" i="1" s="1"/>
  <c r="I53" i="1"/>
  <c r="J53" i="1"/>
  <c r="K53" i="1" s="1"/>
  <c r="L53" i="1" s="1"/>
  <c r="I54" i="1"/>
  <c r="J54" i="1"/>
  <c r="K54" i="1" s="1"/>
  <c r="L54" i="1" s="1"/>
  <c r="I55" i="1"/>
  <c r="J55" i="1"/>
  <c r="K55" i="1" s="1"/>
  <c r="L55" i="1" s="1"/>
  <c r="I56" i="1"/>
  <c r="J56" i="1"/>
  <c r="K56" i="1" s="1"/>
  <c r="L56" i="1" s="1"/>
  <c r="I57" i="1"/>
  <c r="J57" i="1"/>
  <c r="K57" i="1" s="1"/>
  <c r="L57" i="1" s="1"/>
  <c r="I58" i="1"/>
  <c r="J58" i="1"/>
  <c r="K58" i="1" s="1"/>
  <c r="L58" i="1" s="1"/>
  <c r="I59" i="1"/>
  <c r="J59" i="1"/>
  <c r="K59" i="1" s="1"/>
  <c r="L59" i="1" s="1"/>
  <c r="I60" i="1"/>
  <c r="J60" i="1"/>
  <c r="K60" i="1" s="1"/>
  <c r="L60" i="1" s="1"/>
  <c r="I61" i="1"/>
  <c r="J61" i="1"/>
  <c r="K61" i="1" s="1"/>
  <c r="L61" i="1" s="1"/>
  <c r="I62" i="1"/>
  <c r="J62" i="1"/>
  <c r="K62" i="1" s="1"/>
  <c r="L62" i="1" s="1"/>
  <c r="I63" i="1"/>
  <c r="J63" i="1"/>
  <c r="K63" i="1" s="1"/>
  <c r="L63" i="1" s="1"/>
  <c r="I64" i="1"/>
  <c r="J64" i="1"/>
  <c r="K64" i="1" s="1"/>
  <c r="L64" i="1" s="1"/>
  <c r="I65" i="1"/>
  <c r="J65" i="1"/>
  <c r="K65" i="1" s="1"/>
  <c r="L65" i="1" s="1"/>
  <c r="I66" i="1"/>
  <c r="J66" i="1"/>
  <c r="K66" i="1" s="1"/>
  <c r="L66" i="1" s="1"/>
  <c r="I67" i="1"/>
  <c r="J67" i="1"/>
  <c r="K67" i="1" s="1"/>
  <c r="L67" i="1" s="1"/>
  <c r="I68" i="1"/>
  <c r="J68" i="1"/>
  <c r="K68" i="1" s="1"/>
  <c r="L68" i="1" s="1"/>
  <c r="I69" i="1"/>
  <c r="J69" i="1"/>
  <c r="K69" i="1" s="1"/>
  <c r="L69" i="1" s="1"/>
  <c r="I70" i="1"/>
  <c r="J70" i="1"/>
  <c r="K70" i="1" s="1"/>
  <c r="L70" i="1" s="1"/>
  <c r="I71" i="1"/>
  <c r="J71" i="1"/>
  <c r="K71" i="1" s="1"/>
  <c r="L71" i="1" s="1"/>
  <c r="I72" i="1"/>
  <c r="J72" i="1"/>
  <c r="K72" i="1" s="1"/>
  <c r="L72" i="1" s="1"/>
  <c r="I73" i="1"/>
  <c r="J73" i="1"/>
  <c r="K73" i="1" s="1"/>
  <c r="L73" i="1" s="1"/>
  <c r="I74" i="1"/>
  <c r="J74" i="1"/>
  <c r="K74" i="1" s="1"/>
  <c r="L74" i="1" s="1"/>
  <c r="L18" i="1" l="1"/>
  <c r="F83" i="1" s="1"/>
  <c r="E83" i="1"/>
  <c r="L16" i="1"/>
  <c r="F81" i="1" s="1"/>
  <c r="E81" i="1"/>
  <c r="H7" i="1"/>
  <c r="L12" i="1"/>
  <c r="E78" i="1"/>
  <c r="L15" i="1"/>
  <c r="E80" i="1"/>
  <c r="H9" i="1"/>
  <c r="L13" i="1"/>
  <c r="F79" i="1" s="1"/>
  <c r="E79" i="1"/>
  <c r="L17" i="1"/>
  <c r="F82" i="1" s="1"/>
  <c r="E82" i="1"/>
  <c r="H4" i="1" l="1"/>
  <c r="F78" i="1"/>
  <c r="H6" i="1"/>
  <c r="F80" i="1"/>
  <c r="H5" i="1" l="1"/>
</calcChain>
</file>

<file path=xl/sharedStrings.xml><?xml version="1.0" encoding="utf-8"?>
<sst xmlns="http://schemas.openxmlformats.org/spreadsheetml/2006/main" count="519" uniqueCount="175">
  <si>
    <t>774533 OPT-1</t>
  </si>
  <si>
    <t>Operation BreakDown For Production Stage</t>
  </si>
  <si>
    <t>Style Details and SMV</t>
  </si>
  <si>
    <t>Work Station and Manpower</t>
  </si>
  <si>
    <t>Efficiency and Output</t>
  </si>
  <si>
    <t>Style</t>
  </si>
  <si>
    <t>Total Work Stations</t>
  </si>
  <si>
    <t>Plan Efficiency(%)</t>
  </si>
  <si>
    <t>Customer</t>
  </si>
  <si>
    <t>Machine WorkStation</t>
  </si>
  <si>
    <t>Min Per Day</t>
  </si>
  <si>
    <t>Description</t>
  </si>
  <si>
    <t>Manual WorkStation</t>
  </si>
  <si>
    <t>O/P @100 %</t>
  </si>
  <si>
    <t>SMV</t>
  </si>
  <si>
    <t>Total Manpower</t>
  </si>
  <si>
    <t xml:space="preserve"> O/P @ Plan Efficiency</t>
  </si>
  <si>
    <t>Machine SMV</t>
  </si>
  <si>
    <t>No of Operator</t>
  </si>
  <si>
    <t>Output/Hour @ 100%</t>
  </si>
  <si>
    <t>Manual SMV</t>
  </si>
  <si>
    <t>No Of Helper</t>
  </si>
  <si>
    <t>Output/Hour at Planned Eff</t>
  </si>
  <si>
    <t>Balancing Based On</t>
  </si>
  <si>
    <t>Only Operator</t>
  </si>
  <si>
    <t>Made By</t>
  </si>
  <si>
    <t>SeqNo</t>
  </si>
  <si>
    <t>OPNO</t>
  </si>
  <si>
    <t>Status</t>
  </si>
  <si>
    <t>SubSection</t>
  </si>
  <si>
    <t>Work-Aid</t>
  </si>
  <si>
    <t>Machine</t>
  </si>
  <si>
    <t>Target /Day @100</t>
  </si>
  <si>
    <t>PCS/HR.</t>
  </si>
  <si>
    <t>Man.Req.</t>
  </si>
  <si>
    <t>Planned W/S</t>
  </si>
  <si>
    <t>Remarks</t>
  </si>
  <si>
    <t>IsHelper</t>
  </si>
  <si>
    <t>Modelama Export</t>
  </si>
  <si>
    <t>Ann Taylor</t>
  </si>
  <si>
    <t>DRESS</t>
  </si>
  <si>
    <t>md_user03</t>
  </si>
  <si>
    <t>Shoulder strap make with turn &amp; mark cut</t>
  </si>
  <si>
    <t>E</t>
  </si>
  <si>
    <t>Shoulder strap</t>
  </si>
  <si>
    <t>Binder</t>
  </si>
  <si>
    <t>SNLS</t>
  </si>
  <si>
    <t/>
  </si>
  <si>
    <t>No</t>
  </si>
  <si>
    <t>Back princess seam join lining*2</t>
  </si>
  <si>
    <t>Back Lining</t>
  </si>
  <si>
    <t xml:space="preserve">5Th O/L	</t>
  </si>
  <si>
    <t>Back princess seam join shell *2</t>
  </si>
  <si>
    <t>Back Shell</t>
  </si>
  <si>
    <t>Front lace mark for attach *2</t>
  </si>
  <si>
    <t>Front</t>
  </si>
  <si>
    <t>Pattern</t>
  </si>
  <si>
    <t>Manual</t>
  </si>
  <si>
    <t>Yes</t>
  </si>
  <si>
    <t>Front lace recut</t>
  </si>
  <si>
    <t>SNEC</t>
  </si>
  <si>
    <t>Bust dart make lining profile</t>
  </si>
  <si>
    <t>P</t>
  </si>
  <si>
    <t>Profile</t>
  </si>
  <si>
    <t>SNLS UBT</t>
  </si>
  <si>
    <t>Front neck facing crease &amp; mark</t>
  </si>
  <si>
    <t>Body assembly</t>
  </si>
  <si>
    <t>Press</t>
  </si>
  <si>
    <t>Front shoulder strap mark &amp; tack 2*2</t>
  </si>
  <si>
    <t>Assembly</t>
  </si>
  <si>
    <t>pattern</t>
  </si>
  <si>
    <t>Front neck facing attach L</t>
  </si>
  <si>
    <t>Sew-Guide</t>
  </si>
  <si>
    <t>Front neck back edge stitch</t>
  </si>
  <si>
    <t>Front upper body</t>
  </si>
  <si>
    <t>1/32 CL</t>
  </si>
  <si>
    <t>Front neck turn &amp; press</t>
  </si>
  <si>
    <t>Front neck facing close</t>
  </si>
  <si>
    <t>1/32"CL</t>
  </si>
  <si>
    <t xml:space="preserve">Front neck lace attach </t>
  </si>
  <si>
    <t>Sew -Guide</t>
  </si>
  <si>
    <t>Front side shell &amp; lining join for attach*2</t>
  </si>
  <si>
    <t>Lower front</t>
  </si>
  <si>
    <t>sewing guide</t>
  </si>
  <si>
    <t>Front shell &amp; lining close at waist</t>
  </si>
  <si>
    <t>Sewing Guide</t>
  </si>
  <si>
    <t>Shoulder strap loop insert with ring &amp; tack to back</t>
  </si>
  <si>
    <t>Ubt-Prog</t>
  </si>
  <si>
    <t>Back loop mark &amp; tack *2</t>
  </si>
  <si>
    <t>Upper Body Assembly</t>
  </si>
  <si>
    <t xml:space="preserve">Back neck shell &amp; lining attach </t>
  </si>
  <si>
    <t>Back</t>
  </si>
  <si>
    <t xml:space="preserve">Back neck Turn &amp; press </t>
  </si>
  <si>
    <t>Back neck back stitch</t>
  </si>
  <si>
    <t>1/16"CR</t>
  </si>
  <si>
    <t>Back side shell &amp; lining attach *2</t>
  </si>
  <si>
    <t>Back center shell &amp; lining join*2</t>
  </si>
  <si>
    <t>Back shell &amp; lining close at waist</t>
  </si>
  <si>
    <t>Back waist line mark &amp; shirr lining *2</t>
  </si>
  <si>
    <t>P712</t>
  </si>
  <si>
    <t>Back waist line mark &amp; shirr *2</t>
  </si>
  <si>
    <t>Pair shell to lng</t>
  </si>
  <si>
    <t>Back waist shell &amp; lining attach upper body</t>
  </si>
  <si>
    <t>Back upper body</t>
  </si>
  <si>
    <t>Front waist shell &amp; lining upper body attach</t>
  </si>
  <si>
    <t>Pair upper &amp; lower body</t>
  </si>
  <si>
    <t xml:space="preserve">Front waist line attach </t>
  </si>
  <si>
    <t>sew-Guide</t>
  </si>
  <si>
    <t>Back waist line attach L</t>
  </si>
  <si>
    <t>Front waist line overlock</t>
  </si>
  <si>
    <t>Lower body</t>
  </si>
  <si>
    <t>OL Guide</t>
  </si>
  <si>
    <t>Back waist line overlock</t>
  </si>
  <si>
    <t>Front side shell &amp; lining attach *2</t>
  </si>
  <si>
    <t>Back shell &amp; lining close stay stitch at side</t>
  </si>
  <si>
    <t>Pair front &amp; back</t>
  </si>
  <si>
    <t>Side seam join shell *2 JUP</t>
  </si>
  <si>
    <t>Lower body shell</t>
  </si>
  <si>
    <t>Side seam overlock</t>
  </si>
  <si>
    <t>Side seam tack for attach *4</t>
  </si>
  <si>
    <t>Side seam join shell with lining continue</t>
  </si>
  <si>
    <t>Side seam overlock shell with lining continue</t>
  </si>
  <si>
    <t>OL guide</t>
  </si>
  <si>
    <t>Side seam margin tack at armpit</t>
  </si>
  <si>
    <t>Center back mark &amp; tack below zipper * 1 shell</t>
  </si>
  <si>
    <t>T-Guide</t>
  </si>
  <si>
    <t>Center back mark &amp; tack below zipper * 2nd lining</t>
  </si>
  <si>
    <t>Center back seam join lower body * 1</t>
  </si>
  <si>
    <t>Back Lower Body</t>
  </si>
  <si>
    <t>OL-Guide</t>
  </si>
  <si>
    <t>Center back seam join</t>
  </si>
  <si>
    <t>Shell &amp; lining attach at zipper opening</t>
  </si>
  <si>
    <t>Zipper opening Serge</t>
  </si>
  <si>
    <t>Mark for zipper attach</t>
  </si>
  <si>
    <t>Zip Fly</t>
  </si>
  <si>
    <t>Zipper attach shell</t>
  </si>
  <si>
    <t>P 796</t>
  </si>
  <si>
    <t>Zipper opening stay stitch</t>
  </si>
  <si>
    <t>Zipper margin bind</t>
  </si>
  <si>
    <t>28mm Binder</t>
  </si>
  <si>
    <t>Zipper end tack</t>
  </si>
  <si>
    <t>Zipper tack top &amp; bottom</t>
  </si>
  <si>
    <t>Zipper bottom end bind &amp; finish</t>
  </si>
  <si>
    <t xml:space="preserve">Ring adjuster mark and insert*2 </t>
  </si>
  <si>
    <t>Ring and adjuster balance cut and tack *4</t>
  </si>
  <si>
    <t>Bottom Stay stitch lining</t>
  </si>
  <si>
    <t>Bottom hem lining</t>
  </si>
  <si>
    <t>F503, 1/4"</t>
  </si>
  <si>
    <t>Bottom stay stitch shell</t>
  </si>
  <si>
    <t xml:space="preserve">Bottom hem </t>
  </si>
  <si>
    <t>Hemmer</t>
  </si>
  <si>
    <t xml:space="preserve">Main label  make and mark attach </t>
  </si>
  <si>
    <t>Template</t>
  </si>
  <si>
    <t>Wash care label  make and mark attach</t>
  </si>
  <si>
    <t>Total SMV :</t>
  </si>
  <si>
    <t>Machine Summary</t>
  </si>
  <si>
    <t>Type</t>
  </si>
  <si>
    <t>Req.Opr</t>
  </si>
  <si>
    <t>M/C.Req.</t>
  </si>
  <si>
    <t>sewing</t>
  </si>
  <si>
    <t>Sewing</t>
  </si>
  <si>
    <t>Target And Capacity</t>
  </si>
  <si>
    <t>Target(100%)</t>
  </si>
  <si>
    <t>Capacity/Hr.</t>
  </si>
  <si>
    <t>PCS@ 8 Hr.</t>
  </si>
  <si>
    <t>PRDCTY</t>
  </si>
  <si>
    <t>100</t>
  </si>
  <si>
    <t>95</t>
  </si>
  <si>
    <t>90</t>
  </si>
  <si>
    <t>85</t>
  </si>
  <si>
    <t>80</t>
  </si>
  <si>
    <t>75</t>
  </si>
  <si>
    <t>70</t>
  </si>
  <si>
    <t>65</t>
  </si>
  <si>
    <t>Methods Apparel Consultancy India Pvt Ltd(Pro-SMV)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</si>
</sst>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b/>
      <sz val="18"/>
      <color theme="1"/>
      <name val="Perpetua"/>
      <family val="1"/>
    </font>
    <font>
      <b/>
      <i/>
      <sz val="14"/>
      <color theme="1"/>
      <name val="Perpetua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3" borderId="8" xfId="0" applyNumberFormat="1" applyFill="1" applyBorder="1" applyAlignment="1" applyProtection="1">
      <alignment horizontal="center" vertical="center"/>
    </xf>
    <xf numFmtId="0" fontId="0" fillId="5" borderId="4" xfId="0" applyNumberFormat="1" applyFill="1" applyBorder="1" applyAlignment="1" applyProtection="1">
      <alignment horizontal="center" vertical="center"/>
    </xf>
    <xf numFmtId="0" fontId="0" fillId="5" borderId="2" xfId="0" applyNumberFormat="1" applyFill="1" applyBorder="1" applyAlignment="1" applyProtection="1">
      <alignment horizontal="center" vertical="center"/>
    </xf>
    <xf numFmtId="0" fontId="2" fillId="5" borderId="4" xfId="0" applyNumberFormat="1" applyFont="1" applyFill="1" applyBorder="1" applyAlignment="1" applyProtection="1">
      <alignment horizontal="left" vertical="center"/>
    </xf>
    <xf numFmtId="0" fontId="2" fillId="5" borderId="3" xfId="0" applyNumberFormat="1" applyFont="1" applyFill="1" applyBorder="1" applyAlignment="1" applyProtection="1">
      <alignment horizontal="left" vertical="center"/>
    </xf>
    <xf numFmtId="0" fontId="2" fillId="5" borderId="2" xfId="0" applyNumberFormat="1" applyFont="1" applyFill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6" borderId="3" xfId="0" applyNumberFormat="1" applyFont="1" applyFill="1" applyBorder="1" applyAlignment="1" applyProtection="1">
      <alignment horizontal="left" vertical="center"/>
    </xf>
    <xf numFmtId="0" fontId="1" fillId="6" borderId="2" xfId="0" applyNumberFormat="1" applyFont="1" applyFill="1" applyBorder="1" applyAlignment="1" applyProtection="1">
      <alignment horizontal="left" vertical="center"/>
    </xf>
    <xf numFmtId="0" fontId="1" fillId="7" borderId="4" xfId="0" applyNumberFormat="1" applyFont="1" applyFill="1" applyBorder="1" applyAlignment="1" applyProtection="1">
      <alignment horizontal="right" vertical="center" indent="8"/>
    </xf>
    <xf numFmtId="0" fontId="1" fillId="7" borderId="2" xfId="0" applyNumberFormat="1" applyFont="1" applyFill="1" applyBorder="1" applyAlignment="1" applyProtection="1">
      <alignment horizontal="right" vertical="center" indent="8"/>
    </xf>
    <xf numFmtId="0" fontId="2" fillId="7" borderId="4" xfId="0" applyNumberFormat="1" applyFont="1" applyFill="1" applyBorder="1" applyAlignment="1" applyProtection="1">
      <alignment horizontal="left" vertical="center"/>
    </xf>
    <xf numFmtId="0" fontId="2" fillId="7" borderId="3" xfId="0" applyNumberFormat="1" applyFont="1" applyFill="1" applyBorder="1" applyAlignment="1" applyProtection="1">
      <alignment horizontal="left" vertical="center"/>
    </xf>
    <xf numFmtId="0" fontId="2" fillId="7" borderId="2" xfId="0" applyNumberFormat="1" applyFont="1" applyFill="1" applyBorder="1" applyAlignment="1" applyProtection="1">
      <alignment horizontal="left" vertical="center"/>
    </xf>
    <xf numFmtId="0" fontId="1" fillId="6" borderId="1" xfId="0" applyNumberFormat="1" applyFont="1" applyFill="1" applyBorder="1" applyAlignment="1" applyProtection="1">
      <alignment horizontal="left" vertical="center"/>
    </xf>
    <xf numFmtId="0" fontId="0" fillId="0" borderId="1" xfId="0" applyBorder="1" applyAlignment="1">
      <alignment horizontal="left" vertical="center"/>
    </xf>
    <xf numFmtId="0" fontId="1" fillId="6" borderId="1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right" vertical="center" indent="8"/>
    </xf>
    <xf numFmtId="0" fontId="1" fillId="2" borderId="2" xfId="0" applyNumberFormat="1" applyFont="1" applyFill="1" applyBorder="1" applyAlignment="1" applyProtection="1">
      <alignment horizontal="right" vertical="center" indent="8"/>
    </xf>
    <xf numFmtId="0" fontId="2" fillId="2" borderId="4" xfId="0" applyNumberFormat="1" applyFont="1" applyFill="1" applyBorder="1" applyAlignment="1" applyProtection="1">
      <alignment horizontal="left" vertical="center"/>
    </xf>
    <xf numFmtId="0" fontId="2" fillId="2" borderId="3" xfId="0" applyNumberFormat="1" applyFont="1" applyFill="1" applyBorder="1" applyAlignment="1" applyProtection="1">
      <alignment horizontal="left" vertical="center"/>
    </xf>
    <xf numFmtId="0" fontId="2" fillId="2" borderId="2" xfId="0" applyNumberFormat="1" applyFont="1" applyFill="1" applyBorder="1" applyAlignment="1" applyProtection="1">
      <alignment horizontal="left" vertical="center"/>
    </xf>
    <xf numFmtId="0" fontId="1" fillId="2" borderId="1" xfId="0" quotePrefix="1" applyNumberFormat="1" applyFont="1" applyFill="1" applyBorder="1" applyAlignment="1" applyProtection="1">
      <alignment horizontal="left" vertical="center"/>
    </xf>
    <xf numFmtId="9" fontId="1" fillId="6" borderId="1" xfId="0" applyNumberFormat="1" applyFont="1" applyFill="1" applyBorder="1" applyAlignment="1" applyProtection="1">
      <alignment horizontal="center" vertical="center"/>
    </xf>
    <xf numFmtId="0" fontId="2" fillId="6" borderId="1" xfId="0" applyNumberFormat="1" applyFont="1" applyFill="1" applyBorder="1" applyAlignment="1" applyProtection="1">
      <alignment horizontal="left" vertical="center"/>
    </xf>
    <xf numFmtId="0" fontId="1" fillId="6" borderId="6" xfId="0" applyNumberFormat="1" applyFont="1" applyFill="1" applyBorder="1" applyAlignment="1" applyProtection="1">
      <alignment horizontal="right" vertical="center" indent="8"/>
    </xf>
    <xf numFmtId="0" fontId="1" fillId="6" borderId="5" xfId="0" applyNumberFormat="1" applyFont="1" applyFill="1" applyBorder="1" applyAlignment="1" applyProtection="1">
      <alignment horizontal="right" vertical="center" indent="8"/>
    </xf>
    <xf numFmtId="0" fontId="2" fillId="6" borderId="4" xfId="0" applyNumberFormat="1" applyFont="1" applyFill="1" applyBorder="1" applyAlignment="1" applyProtection="1">
      <alignment horizontal="left" vertical="center"/>
    </xf>
    <xf numFmtId="0" fontId="2" fillId="6" borderId="3" xfId="0" applyNumberFormat="1" applyFont="1" applyFill="1" applyBorder="1" applyAlignment="1" applyProtection="1">
      <alignment horizontal="left" vertical="center"/>
    </xf>
    <xf numFmtId="0" fontId="2" fillId="6" borderId="2" xfId="0" applyNumberFormat="1" applyFont="1" applyFill="1" applyBorder="1" applyAlignment="1" applyProtection="1">
      <alignment horizontal="left"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4" fillId="4" borderId="0" xfId="0" applyNumberFormat="1" applyFont="1" applyFill="1" applyAlignment="1" applyProtection="1">
      <alignment horizontal="center" vertical="center"/>
    </xf>
    <xf numFmtId="0" fontId="4" fillId="4" borderId="7" xfId="0" applyNumberFormat="1" applyFont="1" applyFill="1" applyBorder="1" applyAlignment="1" applyProtection="1">
      <alignment horizontal="center" vertical="center"/>
    </xf>
    <xf numFmtId="0" fontId="4" fillId="4" borderId="4" xfId="0" applyNumberFormat="1" applyFont="1" applyFill="1" applyBorder="1" applyAlignment="1" applyProtection="1">
      <alignment horizontal="center" vertical="center"/>
    </xf>
    <xf numFmtId="0" fontId="4" fillId="4" borderId="3" xfId="0" applyNumberFormat="1" applyFont="1" applyFill="1" applyBorder="1" applyAlignment="1" applyProtection="1">
      <alignment horizontal="center" vertical="center"/>
    </xf>
    <xf numFmtId="0" fontId="4" fillId="4" borderId="2" xfId="0" applyNumberFormat="1" applyFont="1" applyFill="1" applyBorder="1" applyAlignment="1" applyProtection="1">
      <alignment horizontal="center" vertical="center"/>
    </xf>
    <xf numFmtId="0" fontId="3" fillId="3" borderId="0" xfId="0" applyNumberFormat="1" applyFont="1" applyFill="1" applyAlignment="1" applyProtection="1">
      <alignment horizontal="center"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2" fillId="6" borderId="1" xfId="0" applyNumberFormat="1" applyFont="1" applyFill="1" applyBorder="1" applyAlignment="1" applyProtection="1">
      <alignment vertical="center"/>
    </xf>
    <xf numFmtId="0" fontId="2" fillId="7" borderId="2" xfId="0" applyNumberFormat="1" applyFont="1" applyFill="1" applyBorder="1" applyAlignment="1" applyProtection="1">
      <alignment vertical="center"/>
    </xf>
    <xf numFmtId="0" fontId="2" fillId="7" borderId="3" xfId="0" applyNumberFormat="1" applyFont="1" applyFill="1" applyBorder="1" applyAlignment="1" applyProtection="1">
      <alignment vertical="center"/>
    </xf>
    <xf numFmtId="0" fontId="2" fillId="7" borderId="4" xfId="0" applyNumberFormat="1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0" fillId="0" borderId="8" xfId="0" applyNumberFormat="1" applyFill="1" applyBorder="1" applyAlignment="1" applyProtection="1">
      <alignment horizontal="center" vertical="center"/>
    </xf>
    <xf numFmtId="0" fontId="0" fillId="0" borderId="8" xfId="0" applyNumberForma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zoomScale="70" zoomScaleNormal="70" workbookViewId="0">
      <selection sqref="A1:G2"/>
    </sheetView>
  </sheetViews>
  <sheetFormatPr defaultRowHeight="15" x14ac:dyDescent="0.25"/>
  <cols>
    <col min="1" max="1" width="6.85546875" style="42" bestFit="1" customWidth="1"/>
    <col min="2" max="2" width="10.28515625" style="42" bestFit="1" customWidth="1"/>
    <col min="3" max="3" width="36.140625" style="43" bestFit="1" customWidth="1"/>
    <col min="4" max="4" width="7.5703125" style="42" bestFit="1" customWidth="1"/>
    <col min="5" max="5" width="8.28515625" style="42" bestFit="1" customWidth="1"/>
    <col min="6" max="6" width="13.85546875" style="42" bestFit="1" customWidth="1"/>
    <col min="7" max="7" width="10.140625" style="42" bestFit="1" customWidth="1"/>
    <col min="8" max="8" width="10.28515625" style="42" bestFit="1" customWidth="1"/>
    <col min="9" max="9" width="16.28515625" style="42" bestFit="1" customWidth="1"/>
    <col min="10" max="10" width="12.85546875" style="42" bestFit="1" customWidth="1"/>
    <col min="11" max="11" width="11.85546875" style="42" bestFit="1" customWidth="1"/>
    <col min="12" max="12" width="17.85546875" style="42" bestFit="1" customWidth="1"/>
    <col min="13" max="13" width="8.7109375" style="42" customWidth="1"/>
  </cols>
  <sheetData>
    <row r="1" spans="1:14" ht="14.45" customHeight="1" x14ac:dyDescent="0.25">
      <c r="A1" s="41" t="s">
        <v>38</v>
      </c>
      <c r="B1" s="41"/>
      <c r="C1" s="41"/>
      <c r="D1" s="41"/>
      <c r="E1" s="41"/>
      <c r="F1" s="41"/>
      <c r="G1" s="41"/>
      <c r="H1" s="40" t="s">
        <v>1</v>
      </c>
      <c r="I1" s="39"/>
      <c r="J1" s="39"/>
      <c r="K1" s="39"/>
      <c r="L1" s="39"/>
      <c r="M1" s="39"/>
      <c r="N1" s="39"/>
    </row>
    <row r="2" spans="1:14" ht="14.45" customHeight="1" x14ac:dyDescent="0.25">
      <c r="A2" s="41"/>
      <c r="B2" s="41"/>
      <c r="C2" s="41"/>
      <c r="D2" s="41"/>
      <c r="E2" s="41"/>
      <c r="F2" s="41"/>
      <c r="G2" s="41"/>
      <c r="H2" s="40"/>
      <c r="I2" s="39"/>
      <c r="J2" s="39"/>
      <c r="K2" s="39"/>
      <c r="L2" s="39"/>
      <c r="M2" s="39"/>
      <c r="N2" s="39"/>
    </row>
    <row r="3" spans="1:14" ht="18.95" customHeight="1" x14ac:dyDescent="0.25">
      <c r="A3" s="38" t="s">
        <v>2</v>
      </c>
      <c r="B3" s="37"/>
      <c r="C3" s="37"/>
      <c r="D3" s="36"/>
      <c r="E3" s="38" t="s">
        <v>3</v>
      </c>
      <c r="F3" s="37"/>
      <c r="G3" s="37"/>
      <c r="H3" s="37"/>
      <c r="I3" s="36"/>
      <c r="J3" s="35" t="s">
        <v>4</v>
      </c>
      <c r="K3" s="34"/>
      <c r="L3" s="34"/>
      <c r="M3" s="34"/>
      <c r="N3" s="34"/>
    </row>
    <row r="4" spans="1:14" ht="15" customHeight="1" x14ac:dyDescent="0.25">
      <c r="A4" s="33" t="s">
        <v>5</v>
      </c>
      <c r="B4" s="33"/>
      <c r="C4" s="32" t="s">
        <v>0</v>
      </c>
      <c r="D4" s="32"/>
      <c r="E4" s="31" t="s">
        <v>6</v>
      </c>
      <c r="F4" s="30"/>
      <c r="G4" s="29"/>
      <c r="H4" s="28">
        <f>SUM(L12:L74)</f>
        <v>31.5</v>
      </c>
      <c r="I4" s="27"/>
      <c r="J4" s="26" t="s">
        <v>7</v>
      </c>
      <c r="K4" s="26"/>
      <c r="L4" s="26"/>
      <c r="M4" s="25">
        <v>0.6</v>
      </c>
      <c r="N4" s="25"/>
    </row>
    <row r="5" spans="1:14" ht="15" customHeight="1" x14ac:dyDescent="0.25">
      <c r="A5" s="33" t="s">
        <v>8</v>
      </c>
      <c r="B5" s="33"/>
      <c r="C5" s="24" t="s">
        <v>39</v>
      </c>
      <c r="D5" s="32"/>
      <c r="E5" s="23" t="s">
        <v>9</v>
      </c>
      <c r="F5" s="22"/>
      <c r="G5" s="21"/>
      <c r="H5" s="20">
        <f>$H$4-$H$6</f>
        <v>27</v>
      </c>
      <c r="I5" s="19"/>
      <c r="J5" s="26" t="s">
        <v>10</v>
      </c>
      <c r="K5" s="26"/>
      <c r="L5" s="26"/>
      <c r="M5" s="18">
        <v>480</v>
      </c>
      <c r="N5" s="18"/>
    </row>
    <row r="6" spans="1:14" ht="15" customHeight="1" x14ac:dyDescent="0.25">
      <c r="A6" s="33" t="s">
        <v>11</v>
      </c>
      <c r="B6" s="33"/>
      <c r="C6" s="24" t="s">
        <v>40</v>
      </c>
      <c r="D6" s="32"/>
      <c r="E6" s="23" t="s">
        <v>12</v>
      </c>
      <c r="F6" s="22"/>
      <c r="G6" s="21"/>
      <c r="H6" s="20">
        <f>SUMIFS(L12:L74,N12:N74,"Yes")</f>
        <v>4.5</v>
      </c>
      <c r="I6" s="19"/>
      <c r="J6" s="26" t="s">
        <v>13</v>
      </c>
      <c r="K6" s="17"/>
      <c r="L6" s="17"/>
      <c r="M6" s="18">
        <f>ROUND(M5/C8*H8,0)</f>
        <v>0</v>
      </c>
      <c r="N6" s="18"/>
    </row>
    <row r="7" spans="1:14" ht="15" customHeight="1" x14ac:dyDescent="0.25">
      <c r="A7" s="26" t="s">
        <v>14</v>
      </c>
      <c r="B7" s="26"/>
      <c r="C7" s="16">
        <v>31.847000000000001</v>
      </c>
      <c r="D7" s="16"/>
      <c r="E7" s="15" t="s">
        <v>15</v>
      </c>
      <c r="F7" s="14"/>
      <c r="G7" s="13"/>
      <c r="H7" s="12">
        <f>SUM(K12:K74)</f>
        <v>0</v>
      </c>
      <c r="I7" s="11"/>
      <c r="J7" s="26" t="s">
        <v>16</v>
      </c>
      <c r="K7" s="26"/>
      <c r="L7" s="26"/>
      <c r="M7" s="18">
        <f>ROUND(M6*M4,0)</f>
        <v>0</v>
      </c>
      <c r="N7" s="18"/>
    </row>
    <row r="8" spans="1:14" ht="15" customHeight="1" x14ac:dyDescent="0.25">
      <c r="A8" s="45" t="s">
        <v>17</v>
      </c>
      <c r="B8" s="45"/>
      <c r="C8" s="10">
        <v>28.273</v>
      </c>
      <c r="D8" s="9"/>
      <c r="E8" s="15" t="s">
        <v>18</v>
      </c>
      <c r="F8" s="14"/>
      <c r="G8" s="13"/>
      <c r="H8" s="12">
        <v>0</v>
      </c>
      <c r="I8" s="11"/>
      <c r="J8" s="33" t="s">
        <v>19</v>
      </c>
      <c r="K8" s="17"/>
      <c r="L8" s="17"/>
      <c r="M8" s="8">
        <f>ROUND((M6/(M5/60)),0)</f>
        <v>0</v>
      </c>
      <c r="N8" s="8"/>
    </row>
    <row r="9" spans="1:14" ht="15" customHeight="1" x14ac:dyDescent="0.25">
      <c r="A9" s="45" t="s">
        <v>20</v>
      </c>
      <c r="B9" s="45"/>
      <c r="C9" s="10">
        <v>3.5739999999999998</v>
      </c>
      <c r="D9" s="9"/>
      <c r="E9" s="46" t="s">
        <v>21</v>
      </c>
      <c r="F9" s="47"/>
      <c r="G9" s="48"/>
      <c r="H9" s="12">
        <f>SUMIFS(K12:K74,N12:N74,"Yes")</f>
        <v>0</v>
      </c>
      <c r="I9" s="11"/>
      <c r="J9" s="33" t="s">
        <v>22</v>
      </c>
      <c r="K9" s="17"/>
      <c r="L9" s="17"/>
      <c r="M9" s="8">
        <f>ROUND(M8*M4,0)</f>
        <v>0</v>
      </c>
      <c r="N9" s="8"/>
    </row>
    <row r="10" spans="1:14" ht="15" customHeight="1" x14ac:dyDescent="0.25">
      <c r="E10" s="7" t="s">
        <v>23</v>
      </c>
      <c r="F10" s="6"/>
      <c r="G10" s="5"/>
      <c r="H10" s="4" t="s">
        <v>24</v>
      </c>
      <c r="I10" s="3"/>
      <c r="J10" s="33" t="s">
        <v>25</v>
      </c>
      <c r="K10" s="17"/>
      <c r="L10" s="17"/>
      <c r="M10" s="8" t="s">
        <v>41</v>
      </c>
      <c r="N10" s="8"/>
    </row>
    <row r="11" spans="1:14" ht="15" customHeight="1" x14ac:dyDescent="0.25">
      <c r="A11" s="49" t="s">
        <v>26</v>
      </c>
      <c r="B11" s="49" t="s">
        <v>27</v>
      </c>
      <c r="C11" s="44" t="s">
        <v>11</v>
      </c>
      <c r="D11" s="49" t="s">
        <v>14</v>
      </c>
      <c r="E11" s="49" t="s">
        <v>28</v>
      </c>
      <c r="F11" s="49" t="s">
        <v>29</v>
      </c>
      <c r="G11" s="49" t="s">
        <v>30</v>
      </c>
      <c r="H11" s="49" t="s">
        <v>31</v>
      </c>
      <c r="I11" s="49" t="s">
        <v>32</v>
      </c>
      <c r="J11" s="49" t="s">
        <v>33</v>
      </c>
      <c r="K11" s="50" t="s">
        <v>34</v>
      </c>
      <c r="L11" s="50" t="s">
        <v>35</v>
      </c>
      <c r="M11" s="49" t="s">
        <v>36</v>
      </c>
      <c r="N11" s="49" t="s">
        <v>37</v>
      </c>
    </row>
    <row r="12" spans="1:14" x14ac:dyDescent="0.25">
      <c r="A12" s="42">
        <v>1</v>
      </c>
      <c r="B12" s="42">
        <v>18581</v>
      </c>
      <c r="C12" s="43" t="s">
        <v>42</v>
      </c>
      <c r="D12" s="42">
        <v>0.38</v>
      </c>
      <c r="E12" s="42" t="s">
        <v>43</v>
      </c>
      <c r="F12" s="42" t="s">
        <v>44</v>
      </c>
      <c r="G12" s="42" t="s">
        <v>45</v>
      </c>
      <c r="H12" s="42" t="s">
        <v>46</v>
      </c>
      <c r="I12" s="42">
        <f t="shared" ref="I12:I43" si="0">ROUND($M$5/D12,0)</f>
        <v>1263</v>
      </c>
      <c r="J12" s="42">
        <f t="shared" ref="J12:J43" si="1">ROUND(60/D12,0)</f>
        <v>158</v>
      </c>
      <c r="K12" s="42">
        <f>IF(J12=0,0,ROUND(0/157.895,3))</f>
        <v>0</v>
      </c>
      <c r="L12" s="42">
        <f t="shared" ref="L12:L43" si="2">IF(AND(K12&gt;-0.1,K12&lt;=0.75),0.5,IF(AND(K12&gt;0.75,K12&lt;=1.25),1,IF(AND(K12&gt;1.25,K12&lt;=1.75),1.5,IF(AND(K12&gt;1.75,K12&lt;=2.25),2,IF(AND(K12&gt;2.25,K12&lt;=2.75),2.5,IF(AND(K12&gt;2.75,K12&lt;=3.25),3,IF(AND(K12&gt;3.25,K12&lt;=3.75),3.5,IF(AND(K12&gt;3.75,K12&lt;=4.25),4,IF(AND(K12&gt;4.25,K12&lt;=4.75),4.5,IF(AND(K12&gt;4.75,K12&lt;=5.25),5,IF(AND(K12&gt;5.25,K12&lt;=5.75),5.5,IF(AND(K12&gt;5.75,K12&lt;=6.25),6,IF(AND(K12&gt;6.25,K12&lt;=6.75),6.5,IF(AND(K12&gt;6.75,K12&lt;=7.25),7,IF(AND(K12&gt;7.25,K12&lt;=7.75),7.5,IF(AND(K12&gt;7.75,K12&lt;=8.25),8,IF(AND(K12&gt;8.25,K12&lt;=8.75),8.5,IF(AND(K12&gt;8.75,K12&lt;=9.25),9,IF(AND(K12&gt;9.25,K12&lt;=9.75),9.5,IF(AND(K12&gt;9.75,K12&lt;=10.25),10,11))))))))))))))))))))</f>
        <v>0.5</v>
      </c>
      <c r="M12" s="42" t="s">
        <v>47</v>
      </c>
      <c r="N12" t="s">
        <v>48</v>
      </c>
    </row>
    <row r="13" spans="1:14" x14ac:dyDescent="0.25">
      <c r="A13" s="42">
        <v>2</v>
      </c>
      <c r="B13" s="42">
        <v>13514</v>
      </c>
      <c r="C13" s="43" t="s">
        <v>49</v>
      </c>
      <c r="D13" s="42">
        <v>0.42</v>
      </c>
      <c r="E13" s="42" t="s">
        <v>43</v>
      </c>
      <c r="F13" s="42" t="s">
        <v>50</v>
      </c>
      <c r="G13" s="42" t="s">
        <v>47</v>
      </c>
      <c r="H13" s="42" t="s">
        <v>51</v>
      </c>
      <c r="I13" s="42">
        <f t="shared" si="0"/>
        <v>1143</v>
      </c>
      <c r="J13" s="42">
        <f t="shared" si="1"/>
        <v>143</v>
      </c>
      <c r="K13" s="42">
        <f>IF(J13=0,0,ROUND(0/142.857,3))</f>
        <v>0</v>
      </c>
      <c r="L13" s="42">
        <f t="shared" si="2"/>
        <v>0.5</v>
      </c>
      <c r="M13" s="42" t="s">
        <v>47</v>
      </c>
      <c r="N13" t="s">
        <v>48</v>
      </c>
    </row>
    <row r="14" spans="1:14" x14ac:dyDescent="0.25">
      <c r="A14" s="42">
        <v>3</v>
      </c>
      <c r="B14" s="42">
        <v>13516</v>
      </c>
      <c r="C14" s="43" t="s">
        <v>52</v>
      </c>
      <c r="D14" s="42">
        <v>0.42</v>
      </c>
      <c r="E14" s="42" t="s">
        <v>43</v>
      </c>
      <c r="F14" s="42" t="s">
        <v>53</v>
      </c>
      <c r="G14" s="42" t="s">
        <v>47</v>
      </c>
      <c r="H14" s="42" t="s">
        <v>51</v>
      </c>
      <c r="I14" s="42">
        <f t="shared" si="0"/>
        <v>1143</v>
      </c>
      <c r="J14" s="42">
        <f t="shared" si="1"/>
        <v>143</v>
      </c>
      <c r="K14" s="42">
        <f>IF(J14=0,0,ROUND(0/142.857,3))</f>
        <v>0</v>
      </c>
      <c r="L14" s="42">
        <f t="shared" si="2"/>
        <v>0.5</v>
      </c>
      <c r="M14" s="42" t="s">
        <v>47</v>
      </c>
      <c r="N14" t="s">
        <v>48</v>
      </c>
    </row>
    <row r="15" spans="1:14" x14ac:dyDescent="0.25">
      <c r="A15" s="42">
        <v>4</v>
      </c>
      <c r="B15" s="42">
        <v>8693</v>
      </c>
      <c r="C15" s="43" t="s">
        <v>54</v>
      </c>
      <c r="D15" s="42">
        <v>0.35</v>
      </c>
      <c r="E15" s="42" t="s">
        <v>43</v>
      </c>
      <c r="F15" s="42" t="s">
        <v>55</v>
      </c>
      <c r="G15" s="42" t="s">
        <v>56</v>
      </c>
      <c r="H15" s="42" t="s">
        <v>57</v>
      </c>
      <c r="I15" s="42">
        <f t="shared" si="0"/>
        <v>1371</v>
      </c>
      <c r="J15" s="42">
        <f t="shared" si="1"/>
        <v>171</v>
      </c>
      <c r="K15" s="42">
        <f>IF(J15=0,0,ROUND(0/171.429,3))</f>
        <v>0</v>
      </c>
      <c r="L15" s="42">
        <f t="shared" si="2"/>
        <v>0.5</v>
      </c>
      <c r="M15" s="42" t="s">
        <v>47</v>
      </c>
      <c r="N15" t="s">
        <v>58</v>
      </c>
    </row>
    <row r="16" spans="1:14" x14ac:dyDescent="0.25">
      <c r="A16" s="42">
        <v>5</v>
      </c>
      <c r="B16" s="42">
        <v>8882</v>
      </c>
      <c r="C16" s="43" t="s">
        <v>59</v>
      </c>
      <c r="D16" s="42">
        <v>0.48</v>
      </c>
      <c r="E16" s="42" t="s">
        <v>43</v>
      </c>
      <c r="F16" s="42" t="s">
        <v>55</v>
      </c>
      <c r="G16" s="42" t="s">
        <v>47</v>
      </c>
      <c r="H16" s="42" t="s">
        <v>60</v>
      </c>
      <c r="I16" s="42">
        <f t="shared" si="0"/>
        <v>1000</v>
      </c>
      <c r="J16" s="42">
        <f t="shared" si="1"/>
        <v>125</v>
      </c>
      <c r="K16" s="42">
        <f>IF(J16=0,0,ROUND(0/125,3))</f>
        <v>0</v>
      </c>
      <c r="L16" s="42">
        <f t="shared" si="2"/>
        <v>0.5</v>
      </c>
      <c r="M16" s="42" t="s">
        <v>47</v>
      </c>
      <c r="N16" t="s">
        <v>48</v>
      </c>
    </row>
    <row r="17" spans="1:14" x14ac:dyDescent="0.25">
      <c r="A17" s="42">
        <v>6</v>
      </c>
      <c r="B17" s="42">
        <v>13736</v>
      </c>
      <c r="C17" s="43" t="s">
        <v>61</v>
      </c>
      <c r="D17" s="42">
        <v>0.51400000000000001</v>
      </c>
      <c r="E17" s="42" t="s">
        <v>62</v>
      </c>
      <c r="F17" s="42" t="s">
        <v>55</v>
      </c>
      <c r="G17" s="42" t="s">
        <v>63</v>
      </c>
      <c r="H17" s="42" t="s">
        <v>64</v>
      </c>
      <c r="I17" s="42">
        <f t="shared" si="0"/>
        <v>934</v>
      </c>
      <c r="J17" s="42">
        <f t="shared" si="1"/>
        <v>117</v>
      </c>
      <c r="K17" s="42">
        <f>IF(J17=0,0,ROUND(0/116.732,3))</f>
        <v>0</v>
      </c>
      <c r="L17" s="42">
        <f t="shared" si="2"/>
        <v>0.5</v>
      </c>
      <c r="M17" s="42" t="s">
        <v>47</v>
      </c>
      <c r="N17" t="s">
        <v>48</v>
      </c>
    </row>
    <row r="18" spans="1:14" x14ac:dyDescent="0.25">
      <c r="A18" s="42">
        <v>7</v>
      </c>
      <c r="B18" s="42">
        <v>11322</v>
      </c>
      <c r="C18" s="43" t="s">
        <v>65</v>
      </c>
      <c r="D18" s="42">
        <v>0.35</v>
      </c>
      <c r="E18" s="42" t="s">
        <v>43</v>
      </c>
      <c r="F18" s="42" t="s">
        <v>66</v>
      </c>
      <c r="G18" s="42" t="s">
        <v>56</v>
      </c>
      <c r="H18" s="42" t="s">
        <v>67</v>
      </c>
      <c r="I18" s="42">
        <f t="shared" si="0"/>
        <v>1371</v>
      </c>
      <c r="J18" s="42">
        <f t="shared" si="1"/>
        <v>171</v>
      </c>
      <c r="K18" s="42">
        <f>IF(J18=0,0,ROUND(0/171.429,3))</f>
        <v>0</v>
      </c>
      <c r="L18" s="42">
        <f t="shared" si="2"/>
        <v>0.5</v>
      </c>
      <c r="M18" s="42" t="s">
        <v>47</v>
      </c>
      <c r="N18" t="s">
        <v>58</v>
      </c>
    </row>
    <row r="19" spans="1:14" x14ac:dyDescent="0.25">
      <c r="A19" s="42">
        <v>8</v>
      </c>
      <c r="B19" s="42">
        <v>11783</v>
      </c>
      <c r="C19" s="43" t="s">
        <v>68</v>
      </c>
      <c r="D19" s="42">
        <v>0.56000000000000005</v>
      </c>
      <c r="E19" s="42" t="s">
        <v>43</v>
      </c>
      <c r="F19" s="42" t="s">
        <v>69</v>
      </c>
      <c r="G19" s="42" t="s">
        <v>70</v>
      </c>
      <c r="H19" s="42" t="s">
        <v>46</v>
      </c>
      <c r="I19" s="42">
        <f t="shared" si="0"/>
        <v>857</v>
      </c>
      <c r="J19" s="42">
        <f t="shared" si="1"/>
        <v>107</v>
      </c>
      <c r="K19" s="42">
        <f>IF(J19=0,0,ROUND(0/107.143,3))</f>
        <v>0</v>
      </c>
      <c r="L19" s="42">
        <f t="shared" si="2"/>
        <v>0.5</v>
      </c>
      <c r="M19" s="42" t="s">
        <v>47</v>
      </c>
      <c r="N19" t="s">
        <v>48</v>
      </c>
    </row>
    <row r="20" spans="1:14" x14ac:dyDescent="0.25">
      <c r="A20" s="42">
        <v>9</v>
      </c>
      <c r="B20" s="42">
        <v>12397</v>
      </c>
      <c r="C20" s="43" t="s">
        <v>71</v>
      </c>
      <c r="D20" s="42">
        <v>0.45</v>
      </c>
      <c r="E20" s="42" t="s">
        <v>43</v>
      </c>
      <c r="F20" s="42" t="s">
        <v>55</v>
      </c>
      <c r="G20" s="42" t="s">
        <v>72</v>
      </c>
      <c r="H20" s="42" t="s">
        <v>46</v>
      </c>
      <c r="I20" s="42">
        <f t="shared" si="0"/>
        <v>1067</v>
      </c>
      <c r="J20" s="42">
        <f t="shared" si="1"/>
        <v>133</v>
      </c>
      <c r="K20" s="42">
        <f>IF(J20=0,0,ROUND(0/133.333,3))</f>
        <v>0</v>
      </c>
      <c r="L20" s="42">
        <f t="shared" si="2"/>
        <v>0.5</v>
      </c>
      <c r="M20" s="42" t="s">
        <v>47</v>
      </c>
      <c r="N20" t="s">
        <v>48</v>
      </c>
    </row>
    <row r="21" spans="1:14" x14ac:dyDescent="0.25">
      <c r="A21" s="42">
        <v>10</v>
      </c>
      <c r="B21" s="42">
        <v>9702</v>
      </c>
      <c r="C21" s="43" t="s">
        <v>73</v>
      </c>
      <c r="D21" s="42">
        <v>0.45</v>
      </c>
      <c r="E21" s="42" t="s">
        <v>43</v>
      </c>
      <c r="F21" s="42" t="s">
        <v>74</v>
      </c>
      <c r="G21" s="42" t="s">
        <v>75</v>
      </c>
      <c r="H21" s="42" t="s">
        <v>64</v>
      </c>
      <c r="I21" s="42">
        <f t="shared" si="0"/>
        <v>1067</v>
      </c>
      <c r="J21" s="42">
        <f t="shared" si="1"/>
        <v>133</v>
      </c>
      <c r="K21" s="42">
        <f>IF(J21=0,0,ROUND(0/133.333,3))</f>
        <v>0</v>
      </c>
      <c r="L21" s="42">
        <f t="shared" si="2"/>
        <v>0.5</v>
      </c>
      <c r="M21" s="42" t="s">
        <v>47</v>
      </c>
      <c r="N21" t="s">
        <v>48</v>
      </c>
    </row>
    <row r="22" spans="1:14" x14ac:dyDescent="0.25">
      <c r="A22" s="42">
        <v>11</v>
      </c>
      <c r="B22" s="42">
        <v>2776</v>
      </c>
      <c r="C22" s="43" t="s">
        <v>76</v>
      </c>
      <c r="D22" s="42">
        <v>0.38</v>
      </c>
      <c r="E22" s="42" t="s">
        <v>43</v>
      </c>
      <c r="F22" s="42" t="s">
        <v>55</v>
      </c>
      <c r="G22" s="42" t="s">
        <v>47</v>
      </c>
      <c r="H22" s="42" t="s">
        <v>67</v>
      </c>
      <c r="I22" s="42">
        <f t="shared" si="0"/>
        <v>1263</v>
      </c>
      <c r="J22" s="42">
        <f t="shared" si="1"/>
        <v>158</v>
      </c>
      <c r="K22" s="42">
        <f>IF(J22=0,0,ROUND(0/157.895,3))</f>
        <v>0</v>
      </c>
      <c r="L22" s="42">
        <f t="shared" si="2"/>
        <v>0.5</v>
      </c>
      <c r="M22" s="42" t="s">
        <v>47</v>
      </c>
      <c r="N22" t="s">
        <v>58</v>
      </c>
    </row>
    <row r="23" spans="1:14" x14ac:dyDescent="0.25">
      <c r="A23" s="42">
        <v>12</v>
      </c>
      <c r="B23" s="42">
        <v>10513</v>
      </c>
      <c r="C23" s="43" t="s">
        <v>77</v>
      </c>
      <c r="D23" s="42">
        <v>0.6</v>
      </c>
      <c r="E23" s="42" t="s">
        <v>43</v>
      </c>
      <c r="F23" s="42" t="s">
        <v>69</v>
      </c>
      <c r="G23" s="42" t="s">
        <v>78</v>
      </c>
      <c r="H23" s="42" t="s">
        <v>64</v>
      </c>
      <c r="I23" s="42">
        <f t="shared" si="0"/>
        <v>800</v>
      </c>
      <c r="J23" s="42">
        <f t="shared" si="1"/>
        <v>100</v>
      </c>
      <c r="K23" s="42">
        <f>IF(J23=0,0,ROUND(0/100,3))</f>
        <v>0</v>
      </c>
      <c r="L23" s="42">
        <f t="shared" si="2"/>
        <v>0.5</v>
      </c>
      <c r="M23" s="42" t="s">
        <v>47</v>
      </c>
      <c r="N23" t="s">
        <v>48</v>
      </c>
    </row>
    <row r="24" spans="1:14" x14ac:dyDescent="0.25">
      <c r="A24" s="42">
        <v>13</v>
      </c>
      <c r="B24" s="42">
        <v>17616</v>
      </c>
      <c r="C24" s="43" t="s">
        <v>79</v>
      </c>
      <c r="D24" s="42">
        <v>0.75</v>
      </c>
      <c r="E24" s="42" t="s">
        <v>43</v>
      </c>
      <c r="F24" s="42" t="s">
        <v>55</v>
      </c>
      <c r="G24" s="42" t="s">
        <v>80</v>
      </c>
      <c r="H24" s="42" t="s">
        <v>64</v>
      </c>
      <c r="I24" s="42">
        <f t="shared" si="0"/>
        <v>640</v>
      </c>
      <c r="J24" s="42">
        <f t="shared" si="1"/>
        <v>80</v>
      </c>
      <c r="K24" s="42">
        <f>IF(J24=0,0,ROUND(0/80,3))</f>
        <v>0</v>
      </c>
      <c r="L24" s="42">
        <f t="shared" si="2"/>
        <v>0.5</v>
      </c>
      <c r="M24" s="42" t="s">
        <v>47</v>
      </c>
      <c r="N24" t="s">
        <v>48</v>
      </c>
    </row>
    <row r="25" spans="1:14" x14ac:dyDescent="0.25">
      <c r="A25" s="42">
        <v>14</v>
      </c>
      <c r="B25" s="42">
        <v>10514</v>
      </c>
      <c r="C25" s="43" t="s">
        <v>81</v>
      </c>
      <c r="D25" s="42">
        <v>0.64</v>
      </c>
      <c r="E25" s="42" t="s">
        <v>43</v>
      </c>
      <c r="F25" s="42" t="s">
        <v>82</v>
      </c>
      <c r="G25" s="42" t="s">
        <v>83</v>
      </c>
      <c r="H25" s="42" t="s">
        <v>64</v>
      </c>
      <c r="I25" s="42">
        <f t="shared" si="0"/>
        <v>750</v>
      </c>
      <c r="J25" s="42">
        <f t="shared" si="1"/>
        <v>94</v>
      </c>
      <c r="K25" s="42">
        <f>IF(J25=0,0,ROUND(0/93.75,3))</f>
        <v>0</v>
      </c>
      <c r="L25" s="42">
        <f t="shared" si="2"/>
        <v>0.5</v>
      </c>
      <c r="M25" s="42" t="s">
        <v>47</v>
      </c>
      <c r="N25" t="s">
        <v>48</v>
      </c>
    </row>
    <row r="26" spans="1:14" x14ac:dyDescent="0.25">
      <c r="A26" s="42">
        <v>15</v>
      </c>
      <c r="B26" s="42">
        <v>11236</v>
      </c>
      <c r="C26" s="43" t="s">
        <v>84</v>
      </c>
      <c r="D26" s="42">
        <v>0.4</v>
      </c>
      <c r="E26" s="42" t="s">
        <v>43</v>
      </c>
      <c r="F26" s="42" t="s">
        <v>55</v>
      </c>
      <c r="G26" s="42" t="s">
        <v>85</v>
      </c>
      <c r="H26" s="42" t="s">
        <v>46</v>
      </c>
      <c r="I26" s="42">
        <f t="shared" si="0"/>
        <v>1200</v>
      </c>
      <c r="J26" s="42">
        <f t="shared" si="1"/>
        <v>150</v>
      </c>
      <c r="K26" s="42">
        <f>IF(J26=0,0,ROUND(0/150,3))</f>
        <v>0</v>
      </c>
      <c r="L26" s="42">
        <f t="shared" si="2"/>
        <v>0.5</v>
      </c>
      <c r="M26" s="42" t="s">
        <v>47</v>
      </c>
      <c r="N26" t="s">
        <v>48</v>
      </c>
    </row>
    <row r="27" spans="1:14" x14ac:dyDescent="0.25">
      <c r="A27" s="42">
        <v>16</v>
      </c>
      <c r="B27" s="42">
        <v>405</v>
      </c>
      <c r="C27" s="43" t="s">
        <v>86</v>
      </c>
      <c r="D27" s="42">
        <v>0.35399999999999998</v>
      </c>
      <c r="E27" s="42" t="s">
        <v>62</v>
      </c>
      <c r="F27" s="42" t="s">
        <v>44</v>
      </c>
      <c r="G27" s="42" t="s">
        <v>87</v>
      </c>
      <c r="H27" s="42" t="s">
        <v>64</v>
      </c>
      <c r="I27" s="42">
        <f t="shared" si="0"/>
        <v>1356</v>
      </c>
      <c r="J27" s="42">
        <f t="shared" si="1"/>
        <v>169</v>
      </c>
      <c r="K27" s="42">
        <f>IF(J27=0,0,ROUND(0/169.492,3))</f>
        <v>0</v>
      </c>
      <c r="L27" s="42">
        <f t="shared" si="2"/>
        <v>0.5</v>
      </c>
      <c r="M27" s="42" t="s">
        <v>47</v>
      </c>
      <c r="N27" t="s">
        <v>48</v>
      </c>
    </row>
    <row r="28" spans="1:14" x14ac:dyDescent="0.25">
      <c r="A28" s="42">
        <v>17</v>
      </c>
      <c r="B28" s="42">
        <v>2345</v>
      </c>
      <c r="C28" s="43" t="s">
        <v>88</v>
      </c>
      <c r="D28" s="42">
        <v>0.28599999999999998</v>
      </c>
      <c r="E28" s="42" t="s">
        <v>62</v>
      </c>
      <c r="F28" s="42" t="s">
        <v>89</v>
      </c>
      <c r="G28" s="42" t="s">
        <v>70</v>
      </c>
      <c r="H28" s="42" t="s">
        <v>46</v>
      </c>
      <c r="I28" s="42">
        <f t="shared" si="0"/>
        <v>1678</v>
      </c>
      <c r="J28" s="42">
        <f t="shared" si="1"/>
        <v>210</v>
      </c>
      <c r="K28" s="42">
        <f>IF(J28=0,0,ROUND(0/209.79,3))</f>
        <v>0</v>
      </c>
      <c r="L28" s="42">
        <f t="shared" si="2"/>
        <v>0.5</v>
      </c>
      <c r="M28" s="42" t="s">
        <v>47</v>
      </c>
      <c r="N28" t="s">
        <v>48</v>
      </c>
    </row>
    <row r="29" spans="1:14" x14ac:dyDescent="0.25">
      <c r="A29" s="42">
        <v>18</v>
      </c>
      <c r="B29" s="42">
        <v>19404</v>
      </c>
      <c r="C29" s="43" t="s">
        <v>90</v>
      </c>
      <c r="D29" s="42">
        <v>0.52</v>
      </c>
      <c r="E29" s="42" t="s">
        <v>43</v>
      </c>
      <c r="F29" s="42" t="s">
        <v>91</v>
      </c>
      <c r="G29" s="42" t="s">
        <v>85</v>
      </c>
      <c r="H29" s="42" t="s">
        <v>46</v>
      </c>
      <c r="I29" s="42">
        <f t="shared" si="0"/>
        <v>923</v>
      </c>
      <c r="J29" s="42">
        <f t="shared" si="1"/>
        <v>115</v>
      </c>
      <c r="K29" s="42">
        <f>IF(J29=0,0,ROUND(0/115.385,3))</f>
        <v>0</v>
      </c>
      <c r="L29" s="42">
        <f t="shared" si="2"/>
        <v>0.5</v>
      </c>
      <c r="M29" s="42" t="s">
        <v>47</v>
      </c>
      <c r="N29" t="s">
        <v>48</v>
      </c>
    </row>
    <row r="30" spans="1:14" x14ac:dyDescent="0.25">
      <c r="A30" s="42">
        <v>19</v>
      </c>
      <c r="B30" s="42">
        <v>14433</v>
      </c>
      <c r="C30" s="43" t="s">
        <v>92</v>
      </c>
      <c r="D30" s="42">
        <v>0.36</v>
      </c>
      <c r="E30" s="42" t="s">
        <v>43</v>
      </c>
      <c r="F30" s="42" t="s">
        <v>91</v>
      </c>
      <c r="G30" s="42" t="s">
        <v>47</v>
      </c>
      <c r="H30" s="42" t="s">
        <v>67</v>
      </c>
      <c r="I30" s="42">
        <f t="shared" si="0"/>
        <v>1333</v>
      </c>
      <c r="J30" s="42">
        <f t="shared" si="1"/>
        <v>167</v>
      </c>
      <c r="K30" s="42">
        <f>IF(J30=0,0,ROUND(0/166.667,3))</f>
        <v>0</v>
      </c>
      <c r="L30" s="42">
        <f t="shared" si="2"/>
        <v>0.5</v>
      </c>
      <c r="M30" s="42" t="s">
        <v>47</v>
      </c>
      <c r="N30" t="s">
        <v>58</v>
      </c>
    </row>
    <row r="31" spans="1:14" x14ac:dyDescent="0.25">
      <c r="A31" s="42">
        <v>20</v>
      </c>
      <c r="B31" s="42">
        <v>13614</v>
      </c>
      <c r="C31" s="43" t="s">
        <v>93</v>
      </c>
      <c r="D31" s="42">
        <v>0.45</v>
      </c>
      <c r="E31" s="42" t="s">
        <v>43</v>
      </c>
      <c r="F31" s="42" t="s">
        <v>89</v>
      </c>
      <c r="G31" s="42" t="s">
        <v>94</v>
      </c>
      <c r="H31" s="42" t="s">
        <v>46</v>
      </c>
      <c r="I31" s="42">
        <f t="shared" si="0"/>
        <v>1067</v>
      </c>
      <c r="J31" s="42">
        <f t="shared" si="1"/>
        <v>133</v>
      </c>
      <c r="K31" s="42">
        <f>IF(J31=0,0,ROUND(0/133.333,3))</f>
        <v>0</v>
      </c>
      <c r="L31" s="42">
        <f t="shared" si="2"/>
        <v>0.5</v>
      </c>
      <c r="M31" s="42" t="s">
        <v>47</v>
      </c>
      <c r="N31" t="s">
        <v>48</v>
      </c>
    </row>
    <row r="32" spans="1:14" x14ac:dyDescent="0.25">
      <c r="A32" s="42">
        <v>21</v>
      </c>
      <c r="B32" s="42">
        <v>10712</v>
      </c>
      <c r="C32" s="43" t="s">
        <v>95</v>
      </c>
      <c r="D32" s="42">
        <v>0.34399999999999997</v>
      </c>
      <c r="E32" s="42" t="s">
        <v>62</v>
      </c>
      <c r="F32" s="42" t="s">
        <v>91</v>
      </c>
      <c r="G32" s="42" t="s">
        <v>47</v>
      </c>
      <c r="H32" s="42" t="s">
        <v>64</v>
      </c>
      <c r="I32" s="42">
        <f t="shared" si="0"/>
        <v>1395</v>
      </c>
      <c r="J32" s="42">
        <f t="shared" si="1"/>
        <v>174</v>
      </c>
      <c r="K32" s="42">
        <f>IF(J32=0,0,ROUND(0/174.419,3))</f>
        <v>0</v>
      </c>
      <c r="L32" s="42">
        <f t="shared" si="2"/>
        <v>0.5</v>
      </c>
      <c r="M32" s="42" t="s">
        <v>47</v>
      </c>
      <c r="N32" t="s">
        <v>48</v>
      </c>
    </row>
    <row r="33" spans="1:14" x14ac:dyDescent="0.25">
      <c r="A33" s="42">
        <v>22</v>
      </c>
      <c r="B33" s="42">
        <v>13073</v>
      </c>
      <c r="C33" s="43" t="s">
        <v>96</v>
      </c>
      <c r="D33" s="42">
        <v>0.45</v>
      </c>
      <c r="E33" s="42" t="s">
        <v>43</v>
      </c>
      <c r="F33" s="42" t="s">
        <v>69</v>
      </c>
      <c r="G33" s="42" t="s">
        <v>85</v>
      </c>
      <c r="H33" s="42" t="s">
        <v>64</v>
      </c>
      <c r="I33" s="42">
        <f t="shared" si="0"/>
        <v>1067</v>
      </c>
      <c r="J33" s="42">
        <f t="shared" si="1"/>
        <v>133</v>
      </c>
      <c r="K33" s="42">
        <f>IF(J33=0,0,ROUND(0/133.333,3))</f>
        <v>0</v>
      </c>
      <c r="L33" s="42">
        <f t="shared" si="2"/>
        <v>0.5</v>
      </c>
      <c r="M33" s="42" t="s">
        <v>47</v>
      </c>
      <c r="N33" t="s">
        <v>48</v>
      </c>
    </row>
    <row r="34" spans="1:14" x14ac:dyDescent="0.25">
      <c r="A34" s="42">
        <v>23</v>
      </c>
      <c r="B34" s="42">
        <v>11237</v>
      </c>
      <c r="C34" s="43" t="s">
        <v>97</v>
      </c>
      <c r="D34" s="42">
        <v>0.4</v>
      </c>
      <c r="E34" s="42" t="s">
        <v>43</v>
      </c>
      <c r="F34" s="42" t="s">
        <v>91</v>
      </c>
      <c r="G34" s="42" t="s">
        <v>80</v>
      </c>
      <c r="H34" s="42" t="s">
        <v>46</v>
      </c>
      <c r="I34" s="42">
        <f t="shared" si="0"/>
        <v>1200</v>
      </c>
      <c r="J34" s="42">
        <f t="shared" si="1"/>
        <v>150</v>
      </c>
      <c r="K34" s="42">
        <f>IF(J34=0,0,ROUND(0/150,3))</f>
        <v>0</v>
      </c>
      <c r="L34" s="42">
        <f t="shared" si="2"/>
        <v>0.5</v>
      </c>
      <c r="M34" s="42" t="s">
        <v>47</v>
      </c>
      <c r="N34" t="s">
        <v>48</v>
      </c>
    </row>
    <row r="35" spans="1:14" x14ac:dyDescent="0.25">
      <c r="A35" s="42">
        <v>24</v>
      </c>
      <c r="B35" s="42">
        <v>10031</v>
      </c>
      <c r="C35" s="43" t="s">
        <v>98</v>
      </c>
      <c r="D35" s="42">
        <v>0.5</v>
      </c>
      <c r="E35" s="42" t="s">
        <v>43</v>
      </c>
      <c r="F35" s="42" t="s">
        <v>69</v>
      </c>
      <c r="G35" s="42" t="s">
        <v>99</v>
      </c>
      <c r="H35" s="42" t="s">
        <v>64</v>
      </c>
      <c r="I35" s="42">
        <f t="shared" si="0"/>
        <v>960</v>
      </c>
      <c r="J35" s="42">
        <f t="shared" si="1"/>
        <v>120</v>
      </c>
      <c r="K35" s="42">
        <f>IF(J35=0,0,ROUND(0/120,3))</f>
        <v>0</v>
      </c>
      <c r="L35" s="42">
        <f t="shared" si="2"/>
        <v>0.5</v>
      </c>
      <c r="M35" s="42" t="s">
        <v>47</v>
      </c>
      <c r="N35" t="s">
        <v>48</v>
      </c>
    </row>
    <row r="36" spans="1:14" x14ac:dyDescent="0.25">
      <c r="A36" s="42">
        <v>25</v>
      </c>
      <c r="B36" s="42">
        <v>7982</v>
      </c>
      <c r="C36" s="43" t="s">
        <v>100</v>
      </c>
      <c r="D36" s="42">
        <v>0.42</v>
      </c>
      <c r="E36" s="42" t="s">
        <v>43</v>
      </c>
      <c r="F36" s="42" t="s">
        <v>69</v>
      </c>
      <c r="G36" s="42" t="s">
        <v>99</v>
      </c>
      <c r="H36" s="42" t="s">
        <v>64</v>
      </c>
      <c r="I36" s="42">
        <f t="shared" si="0"/>
        <v>1143</v>
      </c>
      <c r="J36" s="42">
        <f t="shared" si="1"/>
        <v>143</v>
      </c>
      <c r="K36" s="42">
        <f>IF(J36=0,0,ROUND(0/142.857,3))</f>
        <v>0</v>
      </c>
      <c r="L36" s="42">
        <f t="shared" si="2"/>
        <v>0.5</v>
      </c>
      <c r="M36" s="42" t="s">
        <v>47</v>
      </c>
      <c r="N36" t="s">
        <v>48</v>
      </c>
    </row>
    <row r="37" spans="1:14" x14ac:dyDescent="0.25">
      <c r="A37" s="42">
        <v>26</v>
      </c>
      <c r="B37" s="42">
        <v>768</v>
      </c>
      <c r="C37" s="43" t="s">
        <v>101</v>
      </c>
      <c r="D37" s="42">
        <v>0.30299999999999999</v>
      </c>
      <c r="E37" s="42" t="s">
        <v>62</v>
      </c>
      <c r="F37" s="42" t="s">
        <v>55</v>
      </c>
      <c r="G37" s="42" t="s">
        <v>47</v>
      </c>
      <c r="H37" s="42" t="s">
        <v>57</v>
      </c>
      <c r="I37" s="42">
        <f t="shared" si="0"/>
        <v>1584</v>
      </c>
      <c r="J37" s="42">
        <f t="shared" si="1"/>
        <v>198</v>
      </c>
      <c r="K37" s="42">
        <f>IF(J37=0,0,ROUND(0/198.02,3))</f>
        <v>0</v>
      </c>
      <c r="L37" s="42">
        <f t="shared" si="2"/>
        <v>0.5</v>
      </c>
      <c r="M37" s="42" t="s">
        <v>47</v>
      </c>
      <c r="N37" t="s">
        <v>58</v>
      </c>
    </row>
    <row r="38" spans="1:14" x14ac:dyDescent="0.25">
      <c r="A38" s="42">
        <v>27</v>
      </c>
      <c r="B38" s="42">
        <v>17661</v>
      </c>
      <c r="C38" s="43" t="s">
        <v>102</v>
      </c>
      <c r="D38" s="42">
        <v>0.41</v>
      </c>
      <c r="E38" s="42" t="s">
        <v>62</v>
      </c>
      <c r="F38" s="42" t="s">
        <v>103</v>
      </c>
      <c r="G38" s="42" t="s">
        <v>72</v>
      </c>
      <c r="H38" s="42" t="s">
        <v>46</v>
      </c>
      <c r="I38" s="42">
        <f t="shared" si="0"/>
        <v>1171</v>
      </c>
      <c r="J38" s="42">
        <f t="shared" si="1"/>
        <v>146</v>
      </c>
      <c r="K38" s="42">
        <f>IF(J38=0,0,ROUND(0/146.341,3))</f>
        <v>0</v>
      </c>
      <c r="L38" s="42">
        <f t="shared" si="2"/>
        <v>0.5</v>
      </c>
      <c r="M38" s="42" t="s">
        <v>47</v>
      </c>
      <c r="N38" t="s">
        <v>48</v>
      </c>
    </row>
    <row r="39" spans="1:14" x14ac:dyDescent="0.25">
      <c r="A39" s="42">
        <v>28</v>
      </c>
      <c r="B39" s="42">
        <v>17660</v>
      </c>
      <c r="C39" s="43" t="s">
        <v>104</v>
      </c>
      <c r="D39" s="42">
        <v>0.41</v>
      </c>
      <c r="E39" s="42" t="s">
        <v>62</v>
      </c>
      <c r="F39" s="42" t="s">
        <v>74</v>
      </c>
      <c r="G39" s="42" t="s">
        <v>72</v>
      </c>
      <c r="H39" s="42" t="s">
        <v>64</v>
      </c>
      <c r="I39" s="42">
        <f t="shared" si="0"/>
        <v>1171</v>
      </c>
      <c r="J39" s="42">
        <f t="shared" si="1"/>
        <v>146</v>
      </c>
      <c r="K39" s="42">
        <f>IF(J39=0,0,ROUND(0/146.341,3))</f>
        <v>0</v>
      </c>
      <c r="L39" s="42">
        <f t="shared" si="2"/>
        <v>0.5</v>
      </c>
      <c r="M39" s="42" t="s">
        <v>47</v>
      </c>
      <c r="N39" t="s">
        <v>48</v>
      </c>
    </row>
    <row r="40" spans="1:14" x14ac:dyDescent="0.25">
      <c r="A40" s="42">
        <v>29</v>
      </c>
      <c r="B40" s="42">
        <v>5501</v>
      </c>
      <c r="C40" s="43" t="s">
        <v>105</v>
      </c>
      <c r="D40" s="42">
        <v>0.30299999999999999</v>
      </c>
      <c r="E40" s="42" t="s">
        <v>62</v>
      </c>
      <c r="F40" s="42" t="s">
        <v>69</v>
      </c>
      <c r="G40" s="42" t="s">
        <v>47</v>
      </c>
      <c r="H40" s="42" t="s">
        <v>57</v>
      </c>
      <c r="I40" s="42">
        <f t="shared" si="0"/>
        <v>1584</v>
      </c>
      <c r="J40" s="42">
        <f t="shared" si="1"/>
        <v>198</v>
      </c>
      <c r="K40" s="42">
        <f>IF(J40=0,0,ROUND(0/198.02,3))</f>
        <v>0</v>
      </c>
      <c r="L40" s="42">
        <f t="shared" si="2"/>
        <v>0.5</v>
      </c>
      <c r="M40" s="42" t="s">
        <v>47</v>
      </c>
      <c r="N40" t="s">
        <v>58</v>
      </c>
    </row>
    <row r="41" spans="1:14" x14ac:dyDescent="0.25">
      <c r="A41" s="42">
        <v>30</v>
      </c>
      <c r="B41" s="42">
        <v>6561</v>
      </c>
      <c r="C41" s="43" t="s">
        <v>106</v>
      </c>
      <c r="D41" s="42">
        <v>0.56000000000000005</v>
      </c>
      <c r="E41" s="42" t="s">
        <v>43</v>
      </c>
      <c r="F41" s="42" t="s">
        <v>69</v>
      </c>
      <c r="G41" s="42" t="s">
        <v>107</v>
      </c>
      <c r="H41" s="42" t="s">
        <v>64</v>
      </c>
      <c r="I41" s="42">
        <f t="shared" si="0"/>
        <v>857</v>
      </c>
      <c r="J41" s="42">
        <f t="shared" si="1"/>
        <v>107</v>
      </c>
      <c r="K41" s="42">
        <f>IF(J41=0,0,ROUND(0/107.143,3))</f>
        <v>0</v>
      </c>
      <c r="L41" s="42">
        <f t="shared" si="2"/>
        <v>0.5</v>
      </c>
      <c r="M41" s="42" t="s">
        <v>47</v>
      </c>
      <c r="N41" t="s">
        <v>48</v>
      </c>
    </row>
    <row r="42" spans="1:14" x14ac:dyDescent="0.25">
      <c r="A42" s="42">
        <v>31</v>
      </c>
      <c r="B42" s="42">
        <v>14313</v>
      </c>
      <c r="C42" s="43" t="s">
        <v>108</v>
      </c>
      <c r="D42" s="42">
        <v>0.56000000000000005</v>
      </c>
      <c r="E42" s="42" t="s">
        <v>43</v>
      </c>
      <c r="F42" s="42" t="s">
        <v>91</v>
      </c>
      <c r="G42" s="42" t="s">
        <v>107</v>
      </c>
      <c r="H42" s="42" t="s">
        <v>64</v>
      </c>
      <c r="I42" s="42">
        <f t="shared" si="0"/>
        <v>857</v>
      </c>
      <c r="J42" s="42">
        <f t="shared" si="1"/>
        <v>107</v>
      </c>
      <c r="K42" s="42">
        <f>IF(J42=0,0,ROUND(0/107.143,3))</f>
        <v>0</v>
      </c>
      <c r="L42" s="42">
        <f t="shared" si="2"/>
        <v>0.5</v>
      </c>
      <c r="M42" s="42" t="s">
        <v>47</v>
      </c>
      <c r="N42" t="s">
        <v>48</v>
      </c>
    </row>
    <row r="43" spans="1:14" x14ac:dyDescent="0.25">
      <c r="A43" s="42">
        <v>32</v>
      </c>
      <c r="B43" s="42">
        <v>11686</v>
      </c>
      <c r="C43" s="43" t="s">
        <v>109</v>
      </c>
      <c r="D43" s="42">
        <v>0.309</v>
      </c>
      <c r="E43" s="42" t="s">
        <v>62</v>
      </c>
      <c r="F43" s="42" t="s">
        <v>110</v>
      </c>
      <c r="G43" s="42" t="s">
        <v>111</v>
      </c>
      <c r="H43" s="42" t="s">
        <v>51</v>
      </c>
      <c r="I43" s="42">
        <f t="shared" si="0"/>
        <v>1553</v>
      </c>
      <c r="J43" s="42">
        <f t="shared" si="1"/>
        <v>194</v>
      </c>
      <c r="K43" s="42">
        <f>IF(J43=0,0,ROUND(0/194.175,3))</f>
        <v>0</v>
      </c>
      <c r="L43" s="42">
        <f t="shared" si="2"/>
        <v>0.5</v>
      </c>
      <c r="M43" s="42" t="s">
        <v>47</v>
      </c>
      <c r="N43" t="s">
        <v>48</v>
      </c>
    </row>
    <row r="44" spans="1:14" x14ac:dyDescent="0.25">
      <c r="A44" s="42">
        <v>33</v>
      </c>
      <c r="B44" s="42">
        <v>3593</v>
      </c>
      <c r="C44" s="43" t="s">
        <v>112</v>
      </c>
      <c r="D44" s="42">
        <v>0.309</v>
      </c>
      <c r="E44" s="42" t="s">
        <v>62</v>
      </c>
      <c r="F44" s="42" t="s">
        <v>91</v>
      </c>
      <c r="G44" s="42" t="s">
        <v>111</v>
      </c>
      <c r="H44" s="42" t="s">
        <v>51</v>
      </c>
      <c r="I44" s="42">
        <f t="shared" ref="I44:I74" si="3">ROUND($M$5/D44,0)</f>
        <v>1553</v>
      </c>
      <c r="J44" s="42">
        <f t="shared" ref="J44:J74" si="4">ROUND(60/D44,0)</f>
        <v>194</v>
      </c>
      <c r="K44" s="42">
        <f>IF(J44=0,0,ROUND(0/194.175,3))</f>
        <v>0</v>
      </c>
      <c r="L44" s="42">
        <f t="shared" ref="L44:L75" si="5">IF(AND(K44&gt;-0.1,K44&lt;=0.75),0.5,IF(AND(K44&gt;0.75,K44&lt;=1.25),1,IF(AND(K44&gt;1.25,K44&lt;=1.75),1.5,IF(AND(K44&gt;1.75,K44&lt;=2.25),2,IF(AND(K44&gt;2.25,K44&lt;=2.75),2.5,IF(AND(K44&gt;2.75,K44&lt;=3.25),3,IF(AND(K44&gt;3.25,K44&lt;=3.75),3.5,IF(AND(K44&gt;3.75,K44&lt;=4.25),4,IF(AND(K44&gt;4.25,K44&lt;=4.75),4.5,IF(AND(K44&gt;4.75,K44&lt;=5.25),5,IF(AND(K44&gt;5.25,K44&lt;=5.75),5.5,IF(AND(K44&gt;5.75,K44&lt;=6.25),6,IF(AND(K44&gt;6.25,K44&lt;=6.75),6.5,IF(AND(K44&gt;6.75,K44&lt;=7.25),7,IF(AND(K44&gt;7.25,K44&lt;=7.75),7.5,IF(AND(K44&gt;7.75,K44&lt;=8.25),8,IF(AND(K44&gt;8.25,K44&lt;=8.75),8.5,IF(AND(K44&gt;8.75,K44&lt;=9.25),9,IF(AND(K44&gt;9.25,K44&lt;=9.75),9.5,IF(AND(K44&gt;9.75,K44&lt;=10.25),10,11))))))))))))))))))))</f>
        <v>0.5</v>
      </c>
      <c r="M44" s="42" t="s">
        <v>47</v>
      </c>
      <c r="N44" t="s">
        <v>48</v>
      </c>
    </row>
    <row r="45" spans="1:14" x14ac:dyDescent="0.25">
      <c r="A45" s="42">
        <v>34</v>
      </c>
      <c r="B45" s="42">
        <v>6314</v>
      </c>
      <c r="C45" s="43" t="s">
        <v>113</v>
      </c>
      <c r="D45" s="42">
        <v>0.377</v>
      </c>
      <c r="E45" s="42" t="s">
        <v>62</v>
      </c>
      <c r="F45" s="42" t="s">
        <v>55</v>
      </c>
      <c r="G45" s="42" t="s">
        <v>47</v>
      </c>
      <c r="H45" s="42" t="s">
        <v>64</v>
      </c>
      <c r="I45" s="42">
        <f t="shared" si="3"/>
        <v>1273</v>
      </c>
      <c r="J45" s="42">
        <f t="shared" si="4"/>
        <v>159</v>
      </c>
      <c r="K45" s="42">
        <f>IF(J45=0,0,ROUND(0/159.151,3))</f>
        <v>0</v>
      </c>
      <c r="L45" s="42">
        <f t="shared" si="5"/>
        <v>0.5</v>
      </c>
      <c r="M45" s="42" t="s">
        <v>47</v>
      </c>
      <c r="N45" t="s">
        <v>48</v>
      </c>
    </row>
    <row r="46" spans="1:14" x14ac:dyDescent="0.25">
      <c r="A46" s="42">
        <v>35</v>
      </c>
      <c r="B46" s="42">
        <v>10612</v>
      </c>
      <c r="C46" s="43" t="s">
        <v>114</v>
      </c>
      <c r="D46" s="42">
        <v>0.28000000000000003</v>
      </c>
      <c r="E46" s="42" t="s">
        <v>43</v>
      </c>
      <c r="F46" s="42" t="s">
        <v>91</v>
      </c>
      <c r="G46" s="42" t="s">
        <v>47</v>
      </c>
      <c r="H46" s="42" t="s">
        <v>46</v>
      </c>
      <c r="I46" s="42">
        <f t="shared" si="3"/>
        <v>1714</v>
      </c>
      <c r="J46" s="42">
        <f t="shared" si="4"/>
        <v>214</v>
      </c>
      <c r="K46" s="42">
        <f>IF(J46=0,0,ROUND(0/214.286,3))</f>
        <v>0</v>
      </c>
      <c r="L46" s="42">
        <f t="shared" si="5"/>
        <v>0.5</v>
      </c>
      <c r="M46" s="42" t="s">
        <v>47</v>
      </c>
      <c r="N46" t="s">
        <v>48</v>
      </c>
    </row>
    <row r="47" spans="1:14" x14ac:dyDescent="0.25">
      <c r="A47" s="42">
        <v>36</v>
      </c>
      <c r="B47" s="42">
        <v>8426</v>
      </c>
      <c r="C47" s="43" t="s">
        <v>115</v>
      </c>
      <c r="D47" s="42">
        <v>0.30299999999999999</v>
      </c>
      <c r="E47" s="42" t="s">
        <v>62</v>
      </c>
      <c r="F47" s="42" t="s">
        <v>69</v>
      </c>
      <c r="G47" s="42" t="s">
        <v>47</v>
      </c>
      <c r="H47" s="42" t="s">
        <v>57</v>
      </c>
      <c r="I47" s="42">
        <f t="shared" si="3"/>
        <v>1584</v>
      </c>
      <c r="J47" s="42">
        <f t="shared" si="4"/>
        <v>198</v>
      </c>
      <c r="K47" s="42">
        <f>IF(J47=0,0,ROUND(0/198.02,3))</f>
        <v>0</v>
      </c>
      <c r="L47" s="42">
        <f t="shared" si="5"/>
        <v>0.5</v>
      </c>
      <c r="M47" s="42" t="s">
        <v>47</v>
      </c>
      <c r="N47" t="s">
        <v>58</v>
      </c>
    </row>
    <row r="48" spans="1:14" x14ac:dyDescent="0.25">
      <c r="A48" s="42">
        <v>37</v>
      </c>
      <c r="B48" s="42">
        <v>5377</v>
      </c>
      <c r="C48" s="43" t="s">
        <v>116</v>
      </c>
      <c r="D48" s="42">
        <v>1.179</v>
      </c>
      <c r="E48" s="42" t="s">
        <v>43</v>
      </c>
      <c r="F48" s="42" t="s">
        <v>117</v>
      </c>
      <c r="G48" s="42" t="s">
        <v>80</v>
      </c>
      <c r="H48" s="42" t="s">
        <v>46</v>
      </c>
      <c r="I48" s="42">
        <f t="shared" si="3"/>
        <v>407</v>
      </c>
      <c r="J48" s="42">
        <f t="shared" si="4"/>
        <v>51</v>
      </c>
      <c r="K48" s="42">
        <f>IF(J48=0,0,ROUND(0/50.891,3))</f>
        <v>0</v>
      </c>
      <c r="L48" s="42">
        <f t="shared" si="5"/>
        <v>0.5</v>
      </c>
      <c r="M48" s="42" t="s">
        <v>47</v>
      </c>
      <c r="N48" t="s">
        <v>48</v>
      </c>
    </row>
    <row r="49" spans="1:14" x14ac:dyDescent="0.25">
      <c r="A49" s="42">
        <v>38</v>
      </c>
      <c r="B49" s="42">
        <v>1118</v>
      </c>
      <c r="C49" s="43" t="s">
        <v>118</v>
      </c>
      <c r="D49" s="42">
        <v>0.66300000000000003</v>
      </c>
      <c r="E49" s="42" t="s">
        <v>62</v>
      </c>
      <c r="F49" s="42" t="s">
        <v>117</v>
      </c>
      <c r="G49" s="42" t="s">
        <v>111</v>
      </c>
      <c r="H49" s="42" t="s">
        <v>51</v>
      </c>
      <c r="I49" s="42">
        <f t="shared" si="3"/>
        <v>724</v>
      </c>
      <c r="J49" s="42">
        <f t="shared" si="4"/>
        <v>90</v>
      </c>
      <c r="K49" s="42">
        <f>IF(J49=0,0,ROUND(0/90.498,3))</f>
        <v>0</v>
      </c>
      <c r="L49" s="42">
        <f t="shared" si="5"/>
        <v>0.5</v>
      </c>
      <c r="M49" s="42" t="s">
        <v>47</v>
      </c>
      <c r="N49" t="s">
        <v>48</v>
      </c>
    </row>
    <row r="50" spans="1:14" x14ac:dyDescent="0.25">
      <c r="A50" s="42">
        <v>39</v>
      </c>
      <c r="B50" s="42">
        <v>1960</v>
      </c>
      <c r="C50" s="43" t="s">
        <v>119</v>
      </c>
      <c r="D50" s="42">
        <v>0.68600000000000005</v>
      </c>
      <c r="E50" s="42" t="s">
        <v>62</v>
      </c>
      <c r="F50" s="42" t="s">
        <v>69</v>
      </c>
      <c r="G50" s="42" t="s">
        <v>107</v>
      </c>
      <c r="H50" s="42" t="s">
        <v>64</v>
      </c>
      <c r="I50" s="42">
        <f t="shared" si="3"/>
        <v>700</v>
      </c>
      <c r="J50" s="42">
        <f t="shared" si="4"/>
        <v>87</v>
      </c>
      <c r="K50" s="42">
        <f>IF(J50=0,0,ROUND(0/87.464,3))</f>
        <v>0</v>
      </c>
      <c r="L50" s="42">
        <f t="shared" si="5"/>
        <v>0.5</v>
      </c>
      <c r="M50" s="42" t="s">
        <v>47</v>
      </c>
      <c r="N50" t="s">
        <v>48</v>
      </c>
    </row>
    <row r="51" spans="1:14" x14ac:dyDescent="0.25">
      <c r="A51" s="42">
        <v>40</v>
      </c>
      <c r="B51" s="42">
        <v>6031</v>
      </c>
      <c r="C51" s="43" t="s">
        <v>120</v>
      </c>
      <c r="D51" s="42">
        <v>1.2</v>
      </c>
      <c r="E51" s="42" t="s">
        <v>43</v>
      </c>
      <c r="F51" s="42" t="s">
        <v>69</v>
      </c>
      <c r="G51" s="42" t="s">
        <v>107</v>
      </c>
      <c r="H51" s="42" t="s">
        <v>46</v>
      </c>
      <c r="I51" s="42">
        <f t="shared" si="3"/>
        <v>400</v>
      </c>
      <c r="J51" s="42">
        <f t="shared" si="4"/>
        <v>50</v>
      </c>
      <c r="K51" s="42">
        <f>IF(J51=0,0,ROUND(0/50,3))</f>
        <v>0</v>
      </c>
      <c r="L51" s="42">
        <f t="shared" si="5"/>
        <v>0.5</v>
      </c>
      <c r="M51" s="42" t="s">
        <v>47</v>
      </c>
      <c r="N51" t="s">
        <v>48</v>
      </c>
    </row>
    <row r="52" spans="1:14" x14ac:dyDescent="0.25">
      <c r="A52" s="42">
        <v>41</v>
      </c>
      <c r="B52" s="42">
        <v>6033</v>
      </c>
      <c r="C52" s="43" t="s">
        <v>121</v>
      </c>
      <c r="D52" s="42">
        <v>0.98</v>
      </c>
      <c r="E52" s="42" t="s">
        <v>43</v>
      </c>
      <c r="F52" s="42" t="s">
        <v>69</v>
      </c>
      <c r="G52" s="42" t="s">
        <v>122</v>
      </c>
      <c r="H52" s="42" t="s">
        <v>51</v>
      </c>
      <c r="I52" s="42">
        <f t="shared" si="3"/>
        <v>490</v>
      </c>
      <c r="J52" s="42">
        <f t="shared" si="4"/>
        <v>61</v>
      </c>
      <c r="K52" s="42">
        <f>IF(J52=0,0,ROUND(0/61.224,3))</f>
        <v>0</v>
      </c>
      <c r="L52" s="42">
        <f t="shared" si="5"/>
        <v>0.5</v>
      </c>
      <c r="M52" s="42" t="s">
        <v>47</v>
      </c>
      <c r="N52" t="s">
        <v>48</v>
      </c>
    </row>
    <row r="53" spans="1:14" x14ac:dyDescent="0.25">
      <c r="A53" s="42">
        <v>42</v>
      </c>
      <c r="B53" s="42">
        <v>1709</v>
      </c>
      <c r="C53" s="43" t="s">
        <v>123</v>
      </c>
      <c r="D53" s="42">
        <v>0.22900000000000001</v>
      </c>
      <c r="E53" s="42" t="s">
        <v>62</v>
      </c>
      <c r="F53" s="42" t="s">
        <v>69</v>
      </c>
      <c r="G53" s="42" t="s">
        <v>87</v>
      </c>
      <c r="H53" s="42" t="s">
        <v>64</v>
      </c>
      <c r="I53" s="42">
        <f t="shared" si="3"/>
        <v>2096</v>
      </c>
      <c r="J53" s="42">
        <f t="shared" si="4"/>
        <v>262</v>
      </c>
      <c r="K53" s="42">
        <f>IF(J53=0,0,ROUND(0/262.009,3))</f>
        <v>0</v>
      </c>
      <c r="L53" s="42">
        <f t="shared" si="5"/>
        <v>0.5</v>
      </c>
      <c r="M53" s="42" t="s">
        <v>47</v>
      </c>
      <c r="N53" t="s">
        <v>48</v>
      </c>
    </row>
    <row r="54" spans="1:14" x14ac:dyDescent="0.25">
      <c r="A54" s="42">
        <v>43</v>
      </c>
      <c r="B54" s="42">
        <v>1732</v>
      </c>
      <c r="C54" s="43" t="s">
        <v>124</v>
      </c>
      <c r="D54" s="42">
        <v>0.28299999999999997</v>
      </c>
      <c r="E54" s="42" t="s">
        <v>62</v>
      </c>
      <c r="F54" s="42" t="s">
        <v>117</v>
      </c>
      <c r="G54" s="42" t="s">
        <v>125</v>
      </c>
      <c r="H54" s="42" t="s">
        <v>64</v>
      </c>
      <c r="I54" s="42">
        <f t="shared" si="3"/>
        <v>1696</v>
      </c>
      <c r="J54" s="42">
        <f t="shared" si="4"/>
        <v>212</v>
      </c>
      <c r="K54" s="42">
        <f>IF(J54=0,0,ROUND(0/212.014,3))</f>
        <v>0</v>
      </c>
      <c r="L54" s="42">
        <f t="shared" si="5"/>
        <v>0.5</v>
      </c>
      <c r="M54" s="42" t="s">
        <v>47</v>
      </c>
      <c r="N54" t="s">
        <v>48</v>
      </c>
    </row>
    <row r="55" spans="1:14" x14ac:dyDescent="0.25">
      <c r="A55" s="42">
        <v>44</v>
      </c>
      <c r="B55" s="42">
        <v>17278</v>
      </c>
      <c r="C55" s="43" t="s">
        <v>126</v>
      </c>
      <c r="D55" s="42">
        <v>0.28299999999999997</v>
      </c>
      <c r="E55" s="42" t="s">
        <v>62</v>
      </c>
      <c r="F55" s="42" t="s">
        <v>50</v>
      </c>
      <c r="G55" s="42" t="s">
        <v>47</v>
      </c>
      <c r="H55" s="42" t="s">
        <v>46</v>
      </c>
      <c r="I55" s="42">
        <f t="shared" si="3"/>
        <v>1696</v>
      </c>
      <c r="J55" s="42">
        <f t="shared" si="4"/>
        <v>212</v>
      </c>
      <c r="K55" s="42">
        <f>IF(J55=0,0,ROUND(0/212.014,3))</f>
        <v>0</v>
      </c>
      <c r="L55" s="42">
        <f t="shared" si="5"/>
        <v>0.5</v>
      </c>
      <c r="M55" s="42" t="s">
        <v>47</v>
      </c>
      <c r="N55" t="s">
        <v>48</v>
      </c>
    </row>
    <row r="56" spans="1:14" x14ac:dyDescent="0.25">
      <c r="A56" s="42">
        <v>45</v>
      </c>
      <c r="B56" s="42">
        <v>14537</v>
      </c>
      <c r="C56" s="43" t="s">
        <v>127</v>
      </c>
      <c r="D56" s="42">
        <v>0.46</v>
      </c>
      <c r="E56" s="42" t="s">
        <v>43</v>
      </c>
      <c r="F56" s="42" t="s">
        <v>128</v>
      </c>
      <c r="G56" s="42" t="s">
        <v>129</v>
      </c>
      <c r="H56" s="42" t="s">
        <v>51</v>
      </c>
      <c r="I56" s="42">
        <f t="shared" si="3"/>
        <v>1043</v>
      </c>
      <c r="J56" s="42">
        <f t="shared" si="4"/>
        <v>130</v>
      </c>
      <c r="K56" s="42">
        <f>IF(J56=0,0,ROUND(0/130.435,3))</f>
        <v>0</v>
      </c>
      <c r="L56" s="42">
        <f t="shared" si="5"/>
        <v>0.5</v>
      </c>
      <c r="M56" s="42" t="s">
        <v>47</v>
      </c>
      <c r="N56" t="s">
        <v>48</v>
      </c>
    </row>
    <row r="57" spans="1:14" x14ac:dyDescent="0.25">
      <c r="A57" s="42">
        <v>46</v>
      </c>
      <c r="B57" s="42">
        <v>208</v>
      </c>
      <c r="C57" s="43" t="s">
        <v>130</v>
      </c>
      <c r="D57" s="42">
        <v>0.48</v>
      </c>
      <c r="E57" s="42" t="s">
        <v>43</v>
      </c>
      <c r="F57" s="42" t="s">
        <v>91</v>
      </c>
      <c r="G57" s="42" t="s">
        <v>111</v>
      </c>
      <c r="H57" s="42" t="s">
        <v>51</v>
      </c>
      <c r="I57" s="42">
        <f t="shared" si="3"/>
        <v>1000</v>
      </c>
      <c r="J57" s="42">
        <f t="shared" si="4"/>
        <v>125</v>
      </c>
      <c r="K57" s="42">
        <f>IF(J57=0,0,ROUND(0/125,3))</f>
        <v>0</v>
      </c>
      <c r="L57" s="42">
        <f t="shared" si="5"/>
        <v>0.5</v>
      </c>
      <c r="M57" s="42" t="s">
        <v>47</v>
      </c>
      <c r="N57" t="s">
        <v>48</v>
      </c>
    </row>
    <row r="58" spans="1:14" x14ac:dyDescent="0.25">
      <c r="A58" s="42">
        <v>47</v>
      </c>
      <c r="B58" s="42">
        <v>2824</v>
      </c>
      <c r="C58" s="43" t="s">
        <v>131</v>
      </c>
      <c r="D58" s="42">
        <v>0.64</v>
      </c>
      <c r="E58" s="42" t="s">
        <v>43</v>
      </c>
      <c r="F58" s="42" t="s">
        <v>69</v>
      </c>
      <c r="G58" s="42" t="s">
        <v>72</v>
      </c>
      <c r="H58" s="42" t="s">
        <v>46</v>
      </c>
      <c r="I58" s="42">
        <f t="shared" si="3"/>
        <v>750</v>
      </c>
      <c r="J58" s="42">
        <f t="shared" si="4"/>
        <v>94</v>
      </c>
      <c r="K58" s="42">
        <f>IF(J58=0,0,ROUND(0/93.75,3))</f>
        <v>0</v>
      </c>
      <c r="L58" s="42">
        <f t="shared" si="5"/>
        <v>0.5</v>
      </c>
      <c r="M58" s="42" t="s">
        <v>47</v>
      </c>
      <c r="N58" t="s">
        <v>48</v>
      </c>
    </row>
    <row r="59" spans="1:14" x14ac:dyDescent="0.25">
      <c r="A59" s="42">
        <v>48</v>
      </c>
      <c r="B59" s="42">
        <v>12918</v>
      </c>
      <c r="C59" s="43" t="s">
        <v>132</v>
      </c>
      <c r="D59" s="42">
        <v>0.54</v>
      </c>
      <c r="E59" s="42" t="s">
        <v>43</v>
      </c>
      <c r="F59" s="42" t="s">
        <v>69</v>
      </c>
      <c r="G59" s="42" t="s">
        <v>111</v>
      </c>
      <c r="H59" s="42" t="s">
        <v>51</v>
      </c>
      <c r="I59" s="42">
        <f t="shared" si="3"/>
        <v>889</v>
      </c>
      <c r="J59" s="42">
        <f t="shared" si="4"/>
        <v>111</v>
      </c>
      <c r="K59" s="42">
        <f>IF(J59=0,0,ROUND(0/111.111,3))</f>
        <v>0</v>
      </c>
      <c r="L59" s="42">
        <f t="shared" si="5"/>
        <v>0.5</v>
      </c>
      <c r="M59" s="42" t="s">
        <v>47</v>
      </c>
      <c r="N59" t="s">
        <v>48</v>
      </c>
    </row>
    <row r="60" spans="1:14" x14ac:dyDescent="0.25">
      <c r="A60" s="42">
        <v>49</v>
      </c>
      <c r="B60" s="42">
        <v>520</v>
      </c>
      <c r="C60" s="43" t="s">
        <v>133</v>
      </c>
      <c r="D60" s="42">
        <v>0.48</v>
      </c>
      <c r="E60" s="42" t="s">
        <v>43</v>
      </c>
      <c r="F60" s="42" t="s">
        <v>134</v>
      </c>
      <c r="G60" s="42" t="s">
        <v>56</v>
      </c>
      <c r="H60" s="42" t="s">
        <v>57</v>
      </c>
      <c r="I60" s="42">
        <f t="shared" si="3"/>
        <v>1000</v>
      </c>
      <c r="J60" s="42">
        <f t="shared" si="4"/>
        <v>125</v>
      </c>
      <c r="K60" s="42">
        <f>IF(J60=0,0,ROUND(0/125,3))</f>
        <v>0</v>
      </c>
      <c r="L60" s="42">
        <f t="shared" si="5"/>
        <v>0.5</v>
      </c>
      <c r="M60" s="42" t="s">
        <v>47</v>
      </c>
      <c r="N60" t="s">
        <v>58</v>
      </c>
    </row>
    <row r="61" spans="1:14" x14ac:dyDescent="0.25">
      <c r="A61" s="42">
        <v>50</v>
      </c>
      <c r="B61" s="42">
        <v>229</v>
      </c>
      <c r="C61" s="43" t="s">
        <v>135</v>
      </c>
      <c r="D61" s="42">
        <v>0.82</v>
      </c>
      <c r="E61" s="42" t="s">
        <v>43</v>
      </c>
      <c r="F61" s="42" t="s">
        <v>69</v>
      </c>
      <c r="G61" s="42" t="s">
        <v>136</v>
      </c>
      <c r="H61" s="42" t="s">
        <v>46</v>
      </c>
      <c r="I61" s="42">
        <f t="shared" si="3"/>
        <v>585</v>
      </c>
      <c r="J61" s="42">
        <f t="shared" si="4"/>
        <v>73</v>
      </c>
      <c r="K61" s="42">
        <f>IF(J61=0,0,ROUND(0/73.171,3))</f>
        <v>0</v>
      </c>
      <c r="L61" s="42">
        <f t="shared" si="5"/>
        <v>0.5</v>
      </c>
      <c r="M61" s="42" t="s">
        <v>47</v>
      </c>
      <c r="N61" t="s">
        <v>48</v>
      </c>
    </row>
    <row r="62" spans="1:14" x14ac:dyDescent="0.25">
      <c r="A62" s="42">
        <v>51</v>
      </c>
      <c r="B62" s="42">
        <v>730</v>
      </c>
      <c r="C62" s="43" t="s">
        <v>137</v>
      </c>
      <c r="D62" s="42">
        <v>0.6</v>
      </c>
      <c r="E62" s="42" t="s">
        <v>43</v>
      </c>
      <c r="F62" s="42" t="s">
        <v>69</v>
      </c>
      <c r="G62" s="42" t="s">
        <v>47</v>
      </c>
      <c r="H62" s="42" t="s">
        <v>46</v>
      </c>
      <c r="I62" s="42">
        <f t="shared" si="3"/>
        <v>800</v>
      </c>
      <c r="J62" s="42">
        <f t="shared" si="4"/>
        <v>100</v>
      </c>
      <c r="K62" s="42">
        <f>IF(J62=0,0,ROUND(0/100,3))</f>
        <v>0</v>
      </c>
      <c r="L62" s="42">
        <f t="shared" si="5"/>
        <v>0.5</v>
      </c>
      <c r="M62" s="42" t="s">
        <v>47</v>
      </c>
      <c r="N62" t="s">
        <v>48</v>
      </c>
    </row>
    <row r="63" spans="1:14" x14ac:dyDescent="0.25">
      <c r="A63" s="42">
        <v>52</v>
      </c>
      <c r="B63" s="42">
        <v>774</v>
      </c>
      <c r="C63" s="43" t="s">
        <v>138</v>
      </c>
      <c r="D63" s="42">
        <v>0.58299999999999996</v>
      </c>
      <c r="E63" s="42" t="s">
        <v>62</v>
      </c>
      <c r="F63" s="42" t="s">
        <v>69</v>
      </c>
      <c r="G63" s="42" t="s">
        <v>139</v>
      </c>
      <c r="H63" s="42" t="s">
        <v>46</v>
      </c>
      <c r="I63" s="42">
        <f t="shared" si="3"/>
        <v>823</v>
      </c>
      <c r="J63" s="42">
        <f t="shared" si="4"/>
        <v>103</v>
      </c>
      <c r="K63" s="42">
        <f>IF(J63=0,0,ROUND(0/102.916,3))</f>
        <v>0</v>
      </c>
      <c r="L63" s="42">
        <f t="shared" si="5"/>
        <v>0.5</v>
      </c>
      <c r="M63" s="42" t="s">
        <v>47</v>
      </c>
      <c r="N63" t="s">
        <v>48</v>
      </c>
    </row>
    <row r="64" spans="1:14" x14ac:dyDescent="0.25">
      <c r="A64" s="42">
        <v>53</v>
      </c>
      <c r="B64" s="42">
        <v>231</v>
      </c>
      <c r="C64" s="43" t="s">
        <v>140</v>
      </c>
      <c r="D64" s="42">
        <v>0.38</v>
      </c>
      <c r="E64" s="42" t="s">
        <v>43</v>
      </c>
      <c r="F64" s="42" t="s">
        <v>69</v>
      </c>
      <c r="G64" s="42" t="s">
        <v>78</v>
      </c>
      <c r="H64" s="42" t="s">
        <v>64</v>
      </c>
      <c r="I64" s="42">
        <f t="shared" si="3"/>
        <v>1263</v>
      </c>
      <c r="J64" s="42">
        <f t="shared" si="4"/>
        <v>158</v>
      </c>
      <c r="K64" s="42">
        <f>IF(J64=0,0,ROUND(0/157.895,3))</f>
        <v>0</v>
      </c>
      <c r="L64" s="42">
        <f t="shared" si="5"/>
        <v>0.5</v>
      </c>
      <c r="M64" s="42" t="s">
        <v>47</v>
      </c>
      <c r="N64" t="s">
        <v>48</v>
      </c>
    </row>
    <row r="65" spans="1:14" x14ac:dyDescent="0.25">
      <c r="A65" s="42">
        <v>54</v>
      </c>
      <c r="B65" s="42">
        <v>775</v>
      </c>
      <c r="C65" s="43" t="s">
        <v>141</v>
      </c>
      <c r="D65" s="42">
        <v>0.42</v>
      </c>
      <c r="E65" s="42" t="s">
        <v>43</v>
      </c>
      <c r="F65" s="42" t="s">
        <v>69</v>
      </c>
      <c r="G65" s="42" t="s">
        <v>47</v>
      </c>
      <c r="H65" s="42" t="s">
        <v>64</v>
      </c>
      <c r="I65" s="42">
        <f t="shared" si="3"/>
        <v>1143</v>
      </c>
      <c r="J65" s="42">
        <f t="shared" si="4"/>
        <v>143</v>
      </c>
      <c r="K65" s="42">
        <f>IF(J65=0,0,ROUND(0/142.857,3))</f>
        <v>0</v>
      </c>
      <c r="L65" s="42">
        <f t="shared" si="5"/>
        <v>0.5</v>
      </c>
      <c r="M65" s="42" t="s">
        <v>47</v>
      </c>
      <c r="N65" t="s">
        <v>48</v>
      </c>
    </row>
    <row r="66" spans="1:14" x14ac:dyDescent="0.25">
      <c r="A66" s="42">
        <v>55</v>
      </c>
      <c r="B66" s="42">
        <v>230</v>
      </c>
      <c r="C66" s="43" t="s">
        <v>142</v>
      </c>
      <c r="D66" s="42">
        <v>0.48</v>
      </c>
      <c r="E66" s="42" t="s">
        <v>43</v>
      </c>
      <c r="F66" s="42" t="s">
        <v>69</v>
      </c>
      <c r="G66" s="42" t="s">
        <v>78</v>
      </c>
      <c r="H66" s="42" t="s">
        <v>46</v>
      </c>
      <c r="I66" s="42">
        <f t="shared" si="3"/>
        <v>1000</v>
      </c>
      <c r="J66" s="42">
        <f t="shared" si="4"/>
        <v>125</v>
      </c>
      <c r="K66" s="42">
        <f>IF(J66=0,0,ROUND(0/125,3))</f>
        <v>0</v>
      </c>
      <c r="L66" s="42">
        <f t="shared" si="5"/>
        <v>0.5</v>
      </c>
      <c r="M66" s="42" t="s">
        <v>47</v>
      </c>
      <c r="N66" t="s">
        <v>48</v>
      </c>
    </row>
    <row r="67" spans="1:14" x14ac:dyDescent="0.25">
      <c r="A67" s="42">
        <v>56</v>
      </c>
      <c r="B67" s="42">
        <v>8155</v>
      </c>
      <c r="C67" s="43" t="s">
        <v>143</v>
      </c>
      <c r="D67" s="42">
        <v>0.745</v>
      </c>
      <c r="E67" s="42" t="s">
        <v>62</v>
      </c>
      <c r="F67" s="42" t="s">
        <v>91</v>
      </c>
      <c r="G67" s="42" t="s">
        <v>70</v>
      </c>
      <c r="H67" s="42" t="s">
        <v>57</v>
      </c>
      <c r="I67" s="42">
        <f t="shared" si="3"/>
        <v>644</v>
      </c>
      <c r="J67" s="42">
        <f t="shared" si="4"/>
        <v>81</v>
      </c>
      <c r="K67" s="42">
        <f>IF(J67=0,0,ROUND(0/80.537,3))</f>
        <v>0</v>
      </c>
      <c r="L67" s="42">
        <f t="shared" si="5"/>
        <v>0.5</v>
      </c>
      <c r="M67" s="42" t="s">
        <v>47</v>
      </c>
      <c r="N67" t="s">
        <v>58</v>
      </c>
    </row>
    <row r="68" spans="1:14" x14ac:dyDescent="0.25">
      <c r="A68" s="42">
        <v>57</v>
      </c>
      <c r="B68" s="42">
        <v>8156</v>
      </c>
      <c r="C68" s="43" t="s">
        <v>144</v>
      </c>
      <c r="D68" s="42">
        <v>0.374</v>
      </c>
      <c r="E68" s="42" t="s">
        <v>62</v>
      </c>
      <c r="F68" s="42" t="s">
        <v>69</v>
      </c>
      <c r="G68" s="42" t="s">
        <v>47</v>
      </c>
      <c r="H68" s="42" t="s">
        <v>64</v>
      </c>
      <c r="I68" s="42">
        <f t="shared" si="3"/>
        <v>1283</v>
      </c>
      <c r="J68" s="42">
        <f t="shared" si="4"/>
        <v>160</v>
      </c>
      <c r="K68" s="42">
        <f>IF(J68=0,0,ROUND(0/160.428,3))</f>
        <v>0</v>
      </c>
      <c r="L68" s="42">
        <f t="shared" si="5"/>
        <v>0.5</v>
      </c>
      <c r="M68" s="42" t="s">
        <v>47</v>
      </c>
      <c r="N68" t="s">
        <v>48</v>
      </c>
    </row>
    <row r="69" spans="1:14" x14ac:dyDescent="0.25">
      <c r="A69" s="42">
        <v>58</v>
      </c>
      <c r="B69" s="42">
        <v>913</v>
      </c>
      <c r="C69" s="43" t="s">
        <v>145</v>
      </c>
      <c r="D69" s="42">
        <v>0.57699999999999996</v>
      </c>
      <c r="E69" s="42" t="s">
        <v>62</v>
      </c>
      <c r="F69" s="42" t="s">
        <v>69</v>
      </c>
      <c r="G69" s="42" t="s">
        <v>85</v>
      </c>
      <c r="H69" s="42" t="s">
        <v>64</v>
      </c>
      <c r="I69" s="42">
        <f t="shared" si="3"/>
        <v>832</v>
      </c>
      <c r="J69" s="42">
        <f t="shared" si="4"/>
        <v>104</v>
      </c>
      <c r="K69" s="42">
        <f>IF(J69=0,0,ROUND(0/103.986,3))</f>
        <v>0</v>
      </c>
      <c r="L69" s="42">
        <f t="shared" si="5"/>
        <v>0.5</v>
      </c>
      <c r="M69" s="42" t="s">
        <v>47</v>
      </c>
      <c r="N69" t="s">
        <v>48</v>
      </c>
    </row>
    <row r="70" spans="1:14" x14ac:dyDescent="0.25">
      <c r="A70" s="42">
        <v>59</v>
      </c>
      <c r="B70" s="42">
        <v>1123</v>
      </c>
      <c r="C70" s="43" t="s">
        <v>146</v>
      </c>
      <c r="D70" s="42">
        <v>0.82899999999999996</v>
      </c>
      <c r="E70" s="42" t="s">
        <v>62</v>
      </c>
      <c r="F70" s="42" t="s">
        <v>69</v>
      </c>
      <c r="G70" s="42" t="s">
        <v>147</v>
      </c>
      <c r="H70" s="42" t="s">
        <v>46</v>
      </c>
      <c r="I70" s="42">
        <f t="shared" si="3"/>
        <v>579</v>
      </c>
      <c r="J70" s="42">
        <f t="shared" si="4"/>
        <v>72</v>
      </c>
      <c r="K70" s="42">
        <f>IF(J70=0,0,ROUND(0/72.376,3))</f>
        <v>0</v>
      </c>
      <c r="L70" s="42">
        <f t="shared" si="5"/>
        <v>0.5</v>
      </c>
      <c r="M70" s="42" t="s">
        <v>47</v>
      </c>
      <c r="N70" t="s">
        <v>48</v>
      </c>
    </row>
    <row r="71" spans="1:14" x14ac:dyDescent="0.25">
      <c r="A71" s="42">
        <v>60</v>
      </c>
      <c r="B71" s="42">
        <v>6929</v>
      </c>
      <c r="C71" s="43" t="s">
        <v>148</v>
      </c>
      <c r="D71" s="42">
        <v>0.79800000000000004</v>
      </c>
      <c r="E71" s="42" t="s">
        <v>62</v>
      </c>
      <c r="F71" s="42" t="s">
        <v>69</v>
      </c>
      <c r="G71" s="42" t="s">
        <v>85</v>
      </c>
      <c r="H71" s="42" t="s">
        <v>64</v>
      </c>
      <c r="I71" s="42">
        <f t="shared" si="3"/>
        <v>602</v>
      </c>
      <c r="J71" s="42">
        <f t="shared" si="4"/>
        <v>75</v>
      </c>
      <c r="K71" s="42">
        <f>IF(J71=0,0,ROUND(0/75.188,3))</f>
        <v>0</v>
      </c>
      <c r="L71" s="42">
        <f t="shared" si="5"/>
        <v>0.5</v>
      </c>
      <c r="M71" s="42" t="s">
        <v>47</v>
      </c>
      <c r="N71" t="s">
        <v>48</v>
      </c>
    </row>
    <row r="72" spans="1:14" x14ac:dyDescent="0.25">
      <c r="A72" s="42">
        <v>61</v>
      </c>
      <c r="B72" s="42">
        <v>4861</v>
      </c>
      <c r="C72" s="43" t="s">
        <v>149</v>
      </c>
      <c r="D72" s="42">
        <v>0.96</v>
      </c>
      <c r="E72" s="42" t="s">
        <v>43</v>
      </c>
      <c r="F72" s="42" t="s">
        <v>69</v>
      </c>
      <c r="G72" s="42" t="s">
        <v>150</v>
      </c>
      <c r="H72" s="42" t="s">
        <v>64</v>
      </c>
      <c r="I72" s="42">
        <f t="shared" si="3"/>
        <v>500</v>
      </c>
      <c r="J72" s="42">
        <f t="shared" si="4"/>
        <v>63</v>
      </c>
      <c r="K72" s="42">
        <f>IF(J72=0,0,ROUND(0/62.5,3))</f>
        <v>0</v>
      </c>
      <c r="L72" s="42">
        <f t="shared" si="5"/>
        <v>0.5</v>
      </c>
      <c r="M72" s="42" t="s">
        <v>47</v>
      </c>
      <c r="N72" t="s">
        <v>48</v>
      </c>
    </row>
    <row r="73" spans="1:14" x14ac:dyDescent="0.25">
      <c r="A73" s="42">
        <v>62</v>
      </c>
      <c r="B73" s="42">
        <v>89</v>
      </c>
      <c r="C73" s="43" t="s">
        <v>151</v>
      </c>
      <c r="D73" s="42">
        <v>0.54300000000000004</v>
      </c>
      <c r="E73" s="42" t="s">
        <v>62</v>
      </c>
      <c r="F73" s="42" t="s">
        <v>69</v>
      </c>
      <c r="G73" s="42" t="s">
        <v>152</v>
      </c>
      <c r="H73" s="42" t="s">
        <v>64</v>
      </c>
      <c r="I73" s="42">
        <f t="shared" si="3"/>
        <v>884</v>
      </c>
      <c r="J73" s="42">
        <f t="shared" si="4"/>
        <v>110</v>
      </c>
      <c r="K73" s="42">
        <f>IF(J73=0,0,ROUND(0/110.497,3))</f>
        <v>0</v>
      </c>
      <c r="L73" s="42">
        <f t="shared" si="5"/>
        <v>0.5</v>
      </c>
      <c r="M73" s="42" t="s">
        <v>47</v>
      </c>
      <c r="N73" t="s">
        <v>48</v>
      </c>
    </row>
    <row r="74" spans="1:14" x14ac:dyDescent="0.25">
      <c r="A74" s="42">
        <v>63</v>
      </c>
      <c r="B74" s="42">
        <v>90</v>
      </c>
      <c r="C74" s="43" t="s">
        <v>153</v>
      </c>
      <c r="D74" s="42">
        <v>0.28299999999999997</v>
      </c>
      <c r="E74" s="42" t="s">
        <v>62</v>
      </c>
      <c r="F74" s="42" t="s">
        <v>69</v>
      </c>
      <c r="G74" s="42" t="s">
        <v>152</v>
      </c>
      <c r="H74" s="42" t="s">
        <v>64</v>
      </c>
      <c r="I74" s="42">
        <f t="shared" si="3"/>
        <v>1696</v>
      </c>
      <c r="J74" s="42">
        <f t="shared" si="4"/>
        <v>212</v>
      </c>
      <c r="K74" s="42">
        <f>IF(J74=0,0,ROUND(0/212.014,3))</f>
        <v>0</v>
      </c>
      <c r="L74" s="42">
        <f t="shared" si="5"/>
        <v>0.5</v>
      </c>
      <c r="M74" s="42" t="s">
        <v>47</v>
      </c>
      <c r="N74" t="s">
        <v>48</v>
      </c>
    </row>
    <row r="75" spans="1:14" x14ac:dyDescent="0.25">
      <c r="A75" s="51"/>
      <c r="B75" s="51"/>
      <c r="C75" s="52" t="s">
        <v>154</v>
      </c>
      <c r="D75" s="51">
        <v>31.847000000000001</v>
      </c>
      <c r="E75" s="51"/>
      <c r="F75" s="51"/>
      <c r="G75" s="51"/>
      <c r="H75" s="51"/>
      <c r="I75" s="51"/>
      <c r="J75" s="51"/>
      <c r="K75" s="51"/>
      <c r="L75" s="51"/>
      <c r="M75" s="51"/>
    </row>
    <row r="76" spans="1:14" x14ac:dyDescent="0.25">
      <c r="A76" s="2" t="s">
        <v>155</v>
      </c>
      <c r="B76" s="2"/>
      <c r="C76" s="2"/>
      <c r="D76" s="2"/>
      <c r="E76" s="2"/>
      <c r="F76" s="2"/>
      <c r="J76" s="2" t="s">
        <v>161</v>
      </c>
      <c r="K76" s="2"/>
      <c r="L76" s="2"/>
      <c r="M76" s="2"/>
    </row>
    <row r="77" spans="1:14" x14ac:dyDescent="0.25">
      <c r="A77" s="51" t="s">
        <v>48</v>
      </c>
      <c r="B77" s="51" t="s">
        <v>31</v>
      </c>
      <c r="C77" s="52" t="s">
        <v>14</v>
      </c>
      <c r="D77" s="51" t="s">
        <v>156</v>
      </c>
      <c r="E77" s="51" t="s">
        <v>157</v>
      </c>
      <c r="F77" s="51" t="s">
        <v>158</v>
      </c>
      <c r="J77" s="51" t="s">
        <v>162</v>
      </c>
      <c r="K77" s="51" t="s">
        <v>163</v>
      </c>
      <c r="L77" s="51" t="s">
        <v>164</v>
      </c>
      <c r="M77" s="51" t="s">
        <v>165</v>
      </c>
    </row>
    <row r="78" spans="1:14" x14ac:dyDescent="0.25">
      <c r="A78" s="51">
        <v>1</v>
      </c>
      <c r="B78" s="51" t="s">
        <v>46</v>
      </c>
      <c r="C78" s="52">
        <v>10.75</v>
      </c>
      <c r="D78" s="51" t="s">
        <v>159</v>
      </c>
      <c r="E78" s="51">
        <f>SUMIFS(K12:K74,H12:H74,"SNLS")</f>
        <v>0</v>
      </c>
      <c r="F78" s="51">
        <f>SUMIFS(L12:L74,H12:H74,"SNLS")</f>
        <v>9.5</v>
      </c>
      <c r="J78" s="51" t="s">
        <v>166</v>
      </c>
      <c r="K78" s="51">
        <v>60</v>
      </c>
      <c r="L78" s="51">
        <v>482</v>
      </c>
      <c r="M78" s="51">
        <v>60</v>
      </c>
    </row>
    <row r="79" spans="1:14" x14ac:dyDescent="0.25">
      <c r="A79" s="51">
        <v>2</v>
      </c>
      <c r="B79" s="51" t="s">
        <v>51</v>
      </c>
      <c r="C79" s="52">
        <v>4.5810000000000004</v>
      </c>
      <c r="D79" s="51" t="s">
        <v>159</v>
      </c>
      <c r="E79" s="51">
        <f>SUMIFS(K12:K74,H12:H74,"5Th O/L	")</f>
        <v>0</v>
      </c>
      <c r="F79" s="51">
        <f>SUMIFS(L12:L74,H12:H74,"5Th O/L	")</f>
        <v>4.5</v>
      </c>
      <c r="J79" s="51" t="s">
        <v>167</v>
      </c>
      <c r="K79" s="51">
        <v>57</v>
      </c>
      <c r="L79" s="51">
        <v>458</v>
      </c>
      <c r="M79" s="51">
        <v>57</v>
      </c>
    </row>
    <row r="80" spans="1:14" x14ac:dyDescent="0.25">
      <c r="A80" s="51">
        <v>3</v>
      </c>
      <c r="B80" s="51" t="s">
        <v>57</v>
      </c>
      <c r="C80" s="52">
        <v>2.484</v>
      </c>
      <c r="D80" s="51" t="s">
        <v>57</v>
      </c>
      <c r="E80" s="51">
        <f>SUMIFS(K12:K74,H12:H74,"Manual")</f>
        <v>0</v>
      </c>
      <c r="F80" s="51">
        <f>SUMIFS(L12:L74,H12:H74,"Manual")</f>
        <v>3</v>
      </c>
      <c r="J80" s="51" t="s">
        <v>168</v>
      </c>
      <c r="K80" s="51">
        <v>54</v>
      </c>
      <c r="L80" s="51">
        <v>434</v>
      </c>
      <c r="M80" s="51">
        <v>54</v>
      </c>
    </row>
    <row r="81" spans="1:13" x14ac:dyDescent="0.25">
      <c r="A81" s="51">
        <v>4</v>
      </c>
      <c r="B81" s="51" t="s">
        <v>60</v>
      </c>
      <c r="C81" s="52">
        <v>0.48</v>
      </c>
      <c r="D81" s="51" t="s">
        <v>160</v>
      </c>
      <c r="E81" s="51">
        <f>SUMIFS(K12:K74,H12:H74,"SNEC")</f>
        <v>0</v>
      </c>
      <c r="F81" s="51">
        <f>SUMIFS(L12:L74,H12:H74,"SNEC")</f>
        <v>0.5</v>
      </c>
      <c r="J81" s="51" t="s">
        <v>169</v>
      </c>
      <c r="K81" s="51">
        <v>51</v>
      </c>
      <c r="L81" s="51">
        <v>410</v>
      </c>
      <c r="M81" s="51">
        <v>51</v>
      </c>
    </row>
    <row r="82" spans="1:13" x14ac:dyDescent="0.25">
      <c r="A82" s="51">
        <v>5</v>
      </c>
      <c r="B82" s="51" t="s">
        <v>64</v>
      </c>
      <c r="C82" s="52">
        <v>12.462</v>
      </c>
      <c r="D82" s="51" t="s">
        <v>159</v>
      </c>
      <c r="E82" s="51">
        <f>SUMIFS(K12:K74,H12:H74,"SNLS UBT")</f>
        <v>0</v>
      </c>
      <c r="F82" s="51">
        <f>SUMIFS(L12:L74,H12:H74,"SNLS UBT")</f>
        <v>12.5</v>
      </c>
      <c r="J82" s="51" t="s">
        <v>170</v>
      </c>
      <c r="K82" s="51">
        <v>48</v>
      </c>
      <c r="L82" s="51">
        <v>386</v>
      </c>
      <c r="M82" s="51">
        <v>48</v>
      </c>
    </row>
    <row r="83" spans="1:13" x14ac:dyDescent="0.25">
      <c r="A83" s="51">
        <v>6</v>
      </c>
      <c r="B83" s="51" t="s">
        <v>67</v>
      </c>
      <c r="C83" s="52">
        <v>1.0900000000000001</v>
      </c>
      <c r="D83" s="51" t="s">
        <v>57</v>
      </c>
      <c r="E83" s="51">
        <f>SUMIFS(K12:K74,H12:H74,"Press")</f>
        <v>0</v>
      </c>
      <c r="F83" s="51">
        <f>SUMIFS(L12:L74,H12:H74,"Press")</f>
        <v>1.5</v>
      </c>
      <c r="J83" s="51" t="s">
        <v>171</v>
      </c>
      <c r="K83" s="51">
        <v>45</v>
      </c>
      <c r="L83" s="51">
        <v>362</v>
      </c>
      <c r="M83" s="51">
        <v>45</v>
      </c>
    </row>
    <row r="84" spans="1:13" x14ac:dyDescent="0.25">
      <c r="J84" s="51" t="s">
        <v>172</v>
      </c>
      <c r="K84" s="51">
        <v>42</v>
      </c>
      <c r="L84" s="51">
        <v>337</v>
      </c>
      <c r="M84" s="51">
        <v>42</v>
      </c>
    </row>
    <row r="85" spans="1:13" x14ac:dyDescent="0.25">
      <c r="J85" s="51" t="s">
        <v>173</v>
      </c>
      <c r="K85" s="51">
        <v>39</v>
      </c>
      <c r="L85" s="51">
        <v>313</v>
      </c>
      <c r="M85" s="51">
        <v>39</v>
      </c>
    </row>
    <row r="86" spans="1:13" x14ac:dyDescent="0.25">
      <c r="A86" s="1" t="s">
        <v>174</v>
      </c>
      <c r="B86" s="1"/>
      <c r="C86" s="1"/>
      <c r="D86" s="1"/>
      <c r="E86" s="1"/>
      <c r="F86" s="1"/>
      <c r="G86" s="1"/>
    </row>
  </sheetData>
  <mergeCells count="45">
    <mergeCell ref="A76:F76"/>
    <mergeCell ref="J76:M76"/>
    <mergeCell ref="A86:G86"/>
    <mergeCell ref="C9:D9"/>
    <mergeCell ref="H9:I9"/>
    <mergeCell ref="J9:L9"/>
    <mergeCell ref="M9:N9"/>
    <mergeCell ref="E10:G10"/>
    <mergeCell ref="H10:I10"/>
    <mergeCell ref="J10:L10"/>
    <mergeCell ref="M10:N10"/>
    <mergeCell ref="C8:D8"/>
    <mergeCell ref="E8:G8"/>
    <mergeCell ref="H8:I8"/>
    <mergeCell ref="J8:L8"/>
    <mergeCell ref="M8:N8"/>
    <mergeCell ref="M6:N6"/>
    <mergeCell ref="A7:B7"/>
    <mergeCell ref="C7:D7"/>
    <mergeCell ref="E7:G7"/>
    <mergeCell ref="H7:I7"/>
    <mergeCell ref="J7:L7"/>
    <mergeCell ref="M7:N7"/>
    <mergeCell ref="A6:B6"/>
    <mergeCell ref="C6:D6"/>
    <mergeCell ref="E6:G6"/>
    <mergeCell ref="H6:I6"/>
    <mergeCell ref="J6:L6"/>
    <mergeCell ref="M4:N4"/>
    <mergeCell ref="A5:B5"/>
    <mergeCell ref="C5:D5"/>
    <mergeCell ref="E5:G5"/>
    <mergeCell ref="H5:I5"/>
    <mergeCell ref="J5:L5"/>
    <mergeCell ref="M5:N5"/>
    <mergeCell ref="A4:B4"/>
    <mergeCell ref="C4:D4"/>
    <mergeCell ref="E4:G4"/>
    <mergeCell ref="H4:I4"/>
    <mergeCell ref="J4:L4"/>
    <mergeCell ref="A1:G2"/>
    <mergeCell ref="H1:N2"/>
    <mergeCell ref="A3:D3"/>
    <mergeCell ref="E3:I3"/>
    <mergeCell ref="J3:N3"/>
  </mergeCells>
  <dataValidations disablePrompts="1" count="1">
    <dataValidation type="list" allowBlank="1" showInputMessage="1" showErrorMessage="1" sqref="H10" xr:uid="{00000000-0002-0000-0000-000000000000}">
      <formula1>"Only Operator, Both Helper and Operator"</formula1>
    </dataValidation>
  </dataValidation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Akil Khan</cp:lastModifiedBy>
  <cp:lastPrinted>2026-04-20T06:41:34Z</cp:lastPrinted>
  <dcterms:created xsi:type="dcterms:W3CDTF">2015-06-05T18:17:20Z</dcterms:created>
  <dcterms:modified xsi:type="dcterms:W3CDTF">2026-04-20T06:43:45Z</dcterms:modified>
</cp:coreProperties>
</file>